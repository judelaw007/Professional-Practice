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_Points" sheetId="2" state="visible" r:id="rId2"/>
    <sheet name="Lookups" sheetId="3" state="visible" r:id="rId3"/>
  </sheets>
  <definedNames>
    <definedName name="_xlnm._FilterDatabase" localSheetId="1" hidden="1">'Data_Points'!$A$1:$N$291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</cols>
  <sheetData>
    <row r="1">
      <c r="A1" s="1" t="inlineStr">
        <is>
          <t>GIR DATA POINT TRACKER - DASHBOARD</t>
        </is>
      </c>
    </row>
    <row r="3">
      <c r="A3" s="2" t="inlineStr">
        <is>
          <t>SUMMARY STATISTICS</t>
        </is>
      </c>
    </row>
    <row r="5">
      <c r="A5" t="inlineStr">
        <is>
          <t>Total Data Points:</t>
        </is>
      </c>
      <c r="B5">
        <f>COUNTA(Data_Points!A:A)-1</f>
        <v/>
      </c>
      <c r="D5" s="3" t="inlineStr">
        <is>
          <t>STATUS VALUES</t>
        </is>
      </c>
    </row>
    <row r="6">
      <c r="A6" t="inlineStr">
        <is>
          <t>Section 1 - MNE Group Info:</t>
        </is>
      </c>
      <c r="B6">
        <f>COUNTIF(Data_Points!B:B,"Section 1")</f>
        <v/>
      </c>
      <c r="D6" t="inlineStr">
        <is>
          <t>Not Started</t>
        </is>
      </c>
    </row>
    <row r="7">
      <c r="A7" t="inlineStr">
        <is>
          <t>Section 2 - Safe Harbours:</t>
        </is>
      </c>
      <c r="B7">
        <f>COUNTIF(Data_Points!B:B,"Section 2")</f>
        <v/>
      </c>
      <c r="D7" t="inlineStr">
        <is>
          <t>In Progress</t>
        </is>
      </c>
    </row>
    <row r="8">
      <c r="A8" t="inlineStr">
        <is>
          <t>Section 3 - GloBE Computations:</t>
        </is>
      </c>
      <c r="B8">
        <f>COUNTIF(Data_Points!B:B,"Section 3")</f>
        <v/>
      </c>
      <c r="D8" t="inlineStr">
        <is>
          <t>Completed</t>
        </is>
      </c>
    </row>
    <row r="9">
      <c r="D9" t="inlineStr">
        <is>
          <t>Under Review</t>
        </is>
      </c>
    </row>
    <row r="10">
      <c r="A10" s="2" t="inlineStr">
        <is>
          <t>COMPLETION STATUS</t>
        </is>
      </c>
    </row>
    <row r="11">
      <c r="D11" s="3" t="inlineStr">
        <is>
          <t>PRIORITY VALUES</t>
        </is>
      </c>
    </row>
    <row r="12">
      <c r="A12" t="inlineStr">
        <is>
          <t>Not Started:</t>
        </is>
      </c>
      <c r="B12">
        <f>COUNTIF(Data_Points!N:N,"Not Started")</f>
        <v/>
      </c>
      <c r="D12" t="inlineStr">
        <is>
          <t>Critical</t>
        </is>
      </c>
    </row>
    <row r="13">
      <c r="A13" t="inlineStr">
        <is>
          <t>In Progress:</t>
        </is>
      </c>
      <c r="B13">
        <f>COUNTIF(Data_Points!N:N,"In Progress")</f>
        <v/>
      </c>
      <c r="D13" t="inlineStr">
        <is>
          <t>High</t>
        </is>
      </c>
    </row>
    <row r="14">
      <c r="A14" t="inlineStr">
        <is>
          <t>Completed:</t>
        </is>
      </c>
      <c r="B14">
        <f>COUNTIF(Data_Points!N:N,"Completed")</f>
        <v/>
      </c>
      <c r="D14" t="inlineStr">
        <is>
          <t>Medium</t>
        </is>
      </c>
    </row>
    <row r="15">
      <c r="A15" t="inlineStr">
        <is>
          <t>Under Review:</t>
        </is>
      </c>
      <c r="B15">
        <f>COUNTIF(Data_Points!N:N,"Under Review")</f>
        <v/>
      </c>
      <c r="D15" t="inlineStr">
        <is>
          <t>Low</t>
        </is>
      </c>
    </row>
    <row r="16">
      <c r="A16" t="inlineStr">
        <is>
          <t>Completion Rate:</t>
        </is>
      </c>
      <c r="B16" s="4">
        <f>IF(B5&gt;0,B14/B5,0)</f>
        <v/>
      </c>
    </row>
    <row r="18">
      <c r="A18" s="2" t="inlineStr">
        <is>
          <t>PRIORITY BREAKDOWN</t>
        </is>
      </c>
    </row>
    <row r="20">
      <c r="A20" t="inlineStr">
        <is>
          <t>Critical Priority:</t>
        </is>
      </c>
      <c r="B20">
        <f>COUNTIF(Data_Points!K:K,"Critical")</f>
        <v/>
      </c>
    </row>
    <row r="21">
      <c r="A21" t="inlineStr">
        <is>
          <t>High Priority:</t>
        </is>
      </c>
      <c r="B21">
        <f>COUNTIF(Data_Points!K:K,"High")</f>
        <v/>
      </c>
    </row>
    <row r="22">
      <c r="A22" t="inlineStr">
        <is>
          <t>Medium Priority:</t>
        </is>
      </c>
      <c r="B22">
        <f>COUNTIF(Data_Points!K:K,"Medium")</f>
        <v/>
      </c>
    </row>
    <row r="23">
      <c r="A23" t="inlineStr">
        <is>
          <t>Low Priority:</t>
        </is>
      </c>
      <c r="B23">
        <f>COUNTIF(Data_Points!K:K,"Low")</f>
        <v/>
      </c>
    </row>
    <row r="25">
      <c r="A25" s="2" t="inlineStr">
        <is>
          <t>SECTION COMPLETION RATES</t>
        </is>
      </c>
    </row>
    <row r="27">
      <c r="A27" t="inlineStr">
        <is>
          <t>Section 1 Completion:</t>
        </is>
      </c>
      <c r="B27" s="4">
        <f>IF(B6&gt;0,COUNTIFS(Data_Points!B:B,"Section 1",Data_Points!N:N,"Completed")/B6,0)</f>
        <v/>
      </c>
    </row>
    <row r="28">
      <c r="A28" t="inlineStr">
        <is>
          <t>Section 2 Completion:</t>
        </is>
      </c>
      <c r="B28" s="4">
        <f>IF(B7&gt;0,COUNTIFS(Data_Points!B:B,"Section 2",Data_Points!N:N,"Completed")/B7,0)</f>
        <v/>
      </c>
    </row>
    <row r="29">
      <c r="A29" t="inlineStr">
        <is>
          <t>Section 3 Completion:</t>
        </is>
      </c>
      <c r="B29" s="4">
        <f>IF(B8&gt;0,COUNTIFS(Data_Points!B:B,"Section 3",Data_Points!N:N,"Completed")/B8,0)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5" customWidth="1" min="4" max="4"/>
    <col width="40" customWidth="1" min="5" max="5"/>
    <col width="10" customWidth="1" min="6" max="6"/>
    <col width="8" customWidth="1" min="7" max="7"/>
    <col width="30" customWidth="1" min="8" max="8"/>
    <col width="18" customWidth="1" min="9" max="9"/>
    <col width="15" customWidth="1" min="10" max="10"/>
    <col width="10" customWidth="1" min="11" max="11"/>
    <col width="30" customWidth="1" min="12" max="12"/>
    <col width="30" customWidth="1" min="13" max="13"/>
    <col width="12" customWidth="1" min="14" max="14"/>
  </cols>
  <sheetData>
    <row r="1">
      <c r="A1" s="5" t="inlineStr">
        <is>
          <t>Data_Point_ID</t>
        </is>
      </c>
      <c r="B1" s="5" t="inlineStr">
        <is>
          <t>GIR_Section</t>
        </is>
      </c>
      <c r="C1" s="5" t="inlineStr">
        <is>
          <t>Sub_Section</t>
        </is>
      </c>
      <c r="D1" s="5" t="inlineStr">
        <is>
          <t>Data_Element_Name</t>
        </is>
      </c>
      <c r="E1" s="5" t="inlineStr">
        <is>
          <t>Description</t>
        </is>
      </c>
      <c r="F1" s="5" t="inlineStr">
        <is>
          <t>Data_Type</t>
        </is>
      </c>
      <c r="G1" s="5" t="inlineStr">
        <is>
          <t>Required</t>
        </is>
      </c>
      <c r="H1" s="5" t="inlineStr">
        <is>
          <t>XML_Element_Path</t>
        </is>
      </c>
      <c r="I1" s="5" t="inlineStr">
        <is>
          <t>Source_System</t>
        </is>
      </c>
      <c r="J1" s="5" t="inlineStr">
        <is>
          <t>Data_Owner</t>
        </is>
      </c>
      <c r="K1" s="5" t="inlineStr">
        <is>
          <t>Priority</t>
        </is>
      </c>
      <c r="L1" s="5" t="inlineStr">
        <is>
          <t>Validation_Rule</t>
        </is>
      </c>
      <c r="M1" s="5" t="inlineStr">
        <is>
          <t>Notes</t>
        </is>
      </c>
      <c r="N1" s="5" t="inlineStr">
        <is>
          <t>Collection_Status</t>
        </is>
      </c>
    </row>
    <row r="2">
      <c r="A2" t="inlineStr">
        <is>
          <t>S1-001</t>
        </is>
      </c>
      <c r="B2" t="inlineStr">
        <is>
          <t>Section 1</t>
        </is>
      </c>
      <c r="C2" t="inlineStr">
        <is>
          <t>1.1 Filing CE</t>
        </is>
      </c>
      <c r="D2" t="inlineStr">
        <is>
          <t>FilingConstituentEntityName</t>
        </is>
      </c>
      <c r="E2" t="inlineStr">
        <is>
          <t>Legal name of the Filing Constituent Entity</t>
        </is>
      </c>
      <c r="F2" t="inlineStr">
        <is>
          <t>String</t>
        </is>
      </c>
      <c r="G2" t="inlineStr">
        <is>
          <t>Yes</t>
        </is>
      </c>
      <c r="H2" t="inlineStr">
        <is>
          <t>GIR/FilingCE/Name</t>
        </is>
      </c>
      <c r="I2" t="inlineStr">
        <is>
          <t>Legal Entity Master</t>
        </is>
      </c>
      <c r="J2" t="inlineStr">
        <is>
          <t>Tax Director</t>
        </is>
      </c>
      <c r="K2" t="inlineStr">
        <is>
          <t>Critical</t>
        </is>
      </c>
      <c r="L2" t="inlineStr">
        <is>
          <t>Must match registered name</t>
        </is>
      </c>
      <c r="M2" t="inlineStr">
        <is>
          <t>Primary filer identification</t>
        </is>
      </c>
      <c r="N2" t="inlineStr">
        <is>
          <t>Not Started</t>
        </is>
      </c>
    </row>
    <row r="3">
      <c r="A3" t="inlineStr">
        <is>
          <t>S1-002</t>
        </is>
      </c>
      <c r="B3" t="inlineStr">
        <is>
          <t>Section 1</t>
        </is>
      </c>
      <c r="C3" t="inlineStr">
        <is>
          <t>1.1 Filing CE</t>
        </is>
      </c>
      <c r="D3" t="inlineStr">
        <is>
          <t>FilingCETIN</t>
        </is>
      </c>
      <c r="E3" t="inlineStr">
        <is>
          <t>Tax Identification Number of Filing CE</t>
        </is>
      </c>
      <c r="F3" t="inlineStr">
        <is>
          <t>String</t>
        </is>
      </c>
      <c r="G3" t="inlineStr">
        <is>
          <t>Yes</t>
        </is>
      </c>
      <c r="H3" t="inlineStr">
        <is>
          <t>GIR/FilingCE/TIN</t>
        </is>
      </c>
      <c r="I3" t="inlineStr">
        <is>
          <t>Tax Registration DB</t>
        </is>
      </c>
      <c r="J3" t="inlineStr">
        <is>
          <t>Tax Compliance</t>
        </is>
      </c>
      <c r="K3" t="inlineStr">
        <is>
          <t>Critical</t>
        </is>
      </c>
      <c r="L3" t="inlineStr">
        <is>
          <t>Valid TIN format per jurisdiction</t>
        </is>
      </c>
      <c r="M3" t="inlineStr">
        <is>
          <t>Local tax ID required</t>
        </is>
      </c>
      <c r="N3" t="inlineStr">
        <is>
          <t>Not Started</t>
        </is>
      </c>
    </row>
    <row r="4">
      <c r="A4" t="inlineStr">
        <is>
          <t>S1-003</t>
        </is>
      </c>
      <c r="B4" t="inlineStr">
        <is>
          <t>Section 1</t>
        </is>
      </c>
      <c r="C4" t="inlineStr">
        <is>
          <t>1.1 Filing CE</t>
        </is>
      </c>
      <c r="D4" t="inlineStr">
        <is>
          <t>FilingCEJurisdiction</t>
        </is>
      </c>
      <c r="E4" t="inlineStr">
        <is>
          <t>Jurisdiction where Filing CE is located</t>
        </is>
      </c>
      <c r="F4" t="inlineStr">
        <is>
          <t>Country Code</t>
        </is>
      </c>
      <c r="G4" t="inlineStr">
        <is>
          <t>Yes</t>
        </is>
      </c>
      <c r="H4" t="inlineStr">
        <is>
          <t>GIR/FilingCE/Jurisdiction</t>
        </is>
      </c>
      <c r="I4" t="inlineStr">
        <is>
          <t>Legal Entity Master</t>
        </is>
      </c>
      <c r="J4" t="inlineStr">
        <is>
          <t>Tax Director</t>
        </is>
      </c>
      <c r="K4" t="inlineStr">
        <is>
          <t>Critical</t>
        </is>
      </c>
      <c r="L4" t="inlineStr">
        <is>
          <t>ISO 3166-1 alpha-2</t>
        </is>
      </c>
      <c r="M4" t="inlineStr">
        <is>
          <t>Two-letter country code</t>
        </is>
      </c>
      <c r="N4" t="inlineStr">
        <is>
          <t>Not Started</t>
        </is>
      </c>
    </row>
    <row r="5">
      <c r="A5" t="inlineStr">
        <is>
          <t>S1-004</t>
        </is>
      </c>
      <c r="B5" t="inlineStr">
        <is>
          <t>Section 1</t>
        </is>
      </c>
      <c r="C5" t="inlineStr">
        <is>
          <t>1.1 Filing CE</t>
        </is>
      </c>
      <c r="D5" t="inlineStr">
        <is>
          <t>FilingCEAddress</t>
        </is>
      </c>
      <c r="E5" t="inlineStr">
        <is>
          <t>Registered address of Filing CE</t>
        </is>
      </c>
      <c r="F5" t="inlineStr">
        <is>
          <t>String</t>
        </is>
      </c>
      <c r="G5" t="inlineStr">
        <is>
          <t>Yes</t>
        </is>
      </c>
      <c r="H5" t="inlineStr">
        <is>
          <t>GIR/FilingCE/Address</t>
        </is>
      </c>
      <c r="I5" t="inlineStr">
        <is>
          <t>Legal Entity Master</t>
        </is>
      </c>
      <c r="J5" t="inlineStr">
        <is>
          <t>Corporate Secretary</t>
        </is>
      </c>
      <c r="K5" t="inlineStr">
        <is>
          <t>High</t>
        </is>
      </c>
      <c r="L5" t="inlineStr">
        <is>
          <t>Complete address required</t>
        </is>
      </c>
      <c r="M5" t="inlineStr">
        <is>
          <t>Include postal code</t>
        </is>
      </c>
      <c r="N5" t="inlineStr">
        <is>
          <t>Not Started</t>
        </is>
      </c>
    </row>
    <row r="6">
      <c r="A6" t="inlineStr">
        <is>
          <t>S1-005</t>
        </is>
      </c>
      <c r="B6" t="inlineStr">
        <is>
          <t>Section 1</t>
        </is>
      </c>
      <c r="C6" t="inlineStr">
        <is>
          <t>1.1 Filing CE</t>
        </is>
      </c>
      <c r="D6" t="inlineStr">
        <is>
          <t>FilingCEType</t>
        </is>
      </c>
      <c r="E6" t="inlineStr">
        <is>
          <t>Type of constituent entity (UPE/Filing CE/Other)</t>
        </is>
      </c>
      <c r="F6" t="inlineStr">
        <is>
          <t>Enumeration</t>
        </is>
      </c>
      <c r="G6" t="inlineStr">
        <is>
          <t>Yes</t>
        </is>
      </c>
      <c r="H6" t="inlineStr">
        <is>
          <t>GIR/FilingCE/EntityType</t>
        </is>
      </c>
      <c r="I6" t="inlineStr">
        <is>
          <t>Legal Entity Master</t>
        </is>
      </c>
      <c r="J6" t="inlineStr">
        <is>
          <t>Tax Director</t>
        </is>
      </c>
      <c r="K6" t="inlineStr">
        <is>
          <t>Critical</t>
        </is>
      </c>
      <c r="L6" t="inlineStr">
        <is>
          <t>Valid entity type code</t>
        </is>
      </c>
      <c r="M6" t="inlineStr">
        <is>
          <t>Determines filing obligations</t>
        </is>
      </c>
      <c r="N6" t="inlineStr">
        <is>
          <t>Not Started</t>
        </is>
      </c>
    </row>
    <row r="7">
      <c r="A7" t="inlineStr">
        <is>
          <t>S1-006</t>
        </is>
      </c>
      <c r="B7" t="inlineStr">
        <is>
          <t>Section 1</t>
        </is>
      </c>
      <c r="C7" t="inlineStr">
        <is>
          <t>1.1 Filing CE</t>
        </is>
      </c>
      <c r="D7" t="inlineStr">
        <is>
          <t>FilingRole</t>
        </is>
      </c>
      <c r="E7" t="inlineStr">
        <is>
          <t>Role in GIR filing (Primary/Designated)</t>
        </is>
      </c>
      <c r="F7" t="inlineStr">
        <is>
          <t>Enumeration</t>
        </is>
      </c>
      <c r="G7" t="inlineStr">
        <is>
          <t>Yes</t>
        </is>
      </c>
      <c r="H7" t="inlineStr">
        <is>
          <t>GIR/FilingCE/FilingRole</t>
        </is>
      </c>
      <c r="I7" t="inlineStr">
        <is>
          <t>GIR Configuration</t>
        </is>
      </c>
      <c r="J7" t="inlineStr">
        <is>
          <t>Tax Director</t>
        </is>
      </c>
      <c r="K7" t="inlineStr">
        <is>
          <t>Critical</t>
        </is>
      </c>
      <c r="L7" t="inlineStr">
        <is>
          <t>Must be Primary or Designated</t>
        </is>
      </c>
      <c r="M7" t="inlineStr">
        <is>
          <t>One primary filer per group</t>
        </is>
      </c>
      <c r="N7" t="inlineStr">
        <is>
          <t>Not Started</t>
        </is>
      </c>
    </row>
    <row r="8">
      <c r="A8" t="inlineStr">
        <is>
          <t>S1-007</t>
        </is>
      </c>
      <c r="B8" t="inlineStr">
        <is>
          <t>Section 1</t>
        </is>
      </c>
      <c r="C8" t="inlineStr">
        <is>
          <t>1.1 Filing CE</t>
        </is>
      </c>
      <c r="D8" t="inlineStr">
        <is>
          <t>FilingBasis</t>
        </is>
      </c>
      <c r="E8" t="inlineStr">
        <is>
          <t>Basis for filing (IIR/UTPR/QDMTT)</t>
        </is>
      </c>
      <c r="F8" t="inlineStr">
        <is>
          <t>Enumeration</t>
        </is>
      </c>
      <c r="G8" t="inlineStr">
        <is>
          <t>Yes</t>
        </is>
      </c>
      <c r="H8" t="inlineStr">
        <is>
          <t>GIR/FilingCE/FilingBasis</t>
        </is>
      </c>
      <c r="I8" t="inlineStr">
        <is>
          <t>GIR Configuration</t>
        </is>
      </c>
      <c r="J8" t="inlineStr">
        <is>
          <t>Tax Director</t>
        </is>
      </c>
      <c r="K8" t="inlineStr">
        <is>
          <t>Critical</t>
        </is>
      </c>
      <c r="L8" t="inlineStr">
        <is>
          <t>Valid filing basis code</t>
        </is>
      </c>
      <c r="M8" t="inlineStr">
        <is>
          <t>Determines allocation rules</t>
        </is>
      </c>
      <c r="N8" t="inlineStr">
        <is>
          <t>Not Started</t>
        </is>
      </c>
    </row>
    <row r="9">
      <c r="A9" t="inlineStr">
        <is>
          <t>S1-008</t>
        </is>
      </c>
      <c r="B9" t="inlineStr">
        <is>
          <t>Section 1</t>
        </is>
      </c>
      <c r="C9" t="inlineStr">
        <is>
          <t>1.1 Filing CE</t>
        </is>
      </c>
      <c r="D9" t="inlineStr">
        <is>
          <t>ContactName</t>
        </is>
      </c>
      <c r="E9" t="inlineStr">
        <is>
          <t>Name of primary contact person</t>
        </is>
      </c>
      <c r="F9" t="inlineStr">
        <is>
          <t>String</t>
        </is>
      </c>
      <c r="G9" t="inlineStr">
        <is>
          <t>Yes</t>
        </is>
      </c>
      <c r="H9" t="inlineStr">
        <is>
          <t>GIR/FilingCE/Contact/Name</t>
        </is>
      </c>
      <c r="I9" t="inlineStr">
        <is>
          <t>HR System</t>
        </is>
      </c>
      <c r="J9" t="inlineStr">
        <is>
          <t>Tax Manager</t>
        </is>
      </c>
      <c r="K9" t="inlineStr">
        <is>
          <t>Medium</t>
        </is>
      </c>
      <c r="L9" t="inlineStr">
        <is>
          <t>Non-empty string</t>
        </is>
      </c>
      <c r="M9" t="inlineStr">
        <is>
          <t>For authority queries</t>
        </is>
      </c>
      <c r="N9" t="inlineStr">
        <is>
          <t>Not Started</t>
        </is>
      </c>
    </row>
    <row r="10">
      <c r="A10" t="inlineStr">
        <is>
          <t>S1-009</t>
        </is>
      </c>
      <c r="B10" t="inlineStr">
        <is>
          <t>Section 1</t>
        </is>
      </c>
      <c r="C10" t="inlineStr">
        <is>
          <t>1.1 Filing CE</t>
        </is>
      </c>
      <c r="D10" t="inlineStr">
        <is>
          <t>ContactEmail</t>
        </is>
      </c>
      <c r="E10" t="inlineStr">
        <is>
          <t>Email of primary contact</t>
        </is>
      </c>
      <c r="F10" t="inlineStr">
        <is>
          <t>String</t>
        </is>
      </c>
      <c r="G10" t="inlineStr">
        <is>
          <t>Yes</t>
        </is>
      </c>
      <c r="H10" t="inlineStr">
        <is>
          <t>GIR/FilingCE/Contact/Email</t>
        </is>
      </c>
      <c r="I10" t="inlineStr">
        <is>
          <t>HR System</t>
        </is>
      </c>
      <c r="J10" t="inlineStr">
        <is>
          <t>Tax Manager</t>
        </is>
      </c>
      <c r="K10" t="inlineStr">
        <is>
          <t>Medium</t>
        </is>
      </c>
      <c r="L10" t="inlineStr">
        <is>
          <t>Valid email format</t>
        </is>
      </c>
      <c r="M10" t="inlineStr">
        <is>
          <t>Official correspondence</t>
        </is>
      </c>
      <c r="N10" t="inlineStr">
        <is>
          <t>Not Started</t>
        </is>
      </c>
    </row>
    <row r="11">
      <c r="A11" t="inlineStr">
        <is>
          <t>S1-010</t>
        </is>
      </c>
      <c r="B11" t="inlineStr">
        <is>
          <t>Section 1</t>
        </is>
      </c>
      <c r="C11" t="inlineStr">
        <is>
          <t>1.1 Filing CE</t>
        </is>
      </c>
      <c r="D11" t="inlineStr">
        <is>
          <t>ContactPhone</t>
        </is>
      </c>
      <c r="E11" t="inlineStr">
        <is>
          <t>Phone number of primary contact</t>
        </is>
      </c>
      <c r="F11" t="inlineStr">
        <is>
          <t>String</t>
        </is>
      </c>
      <c r="G11" t="inlineStr">
        <is>
          <t>No</t>
        </is>
      </c>
      <c r="H11" t="inlineStr">
        <is>
          <t>GIR/FilingCE/Contact/Phone</t>
        </is>
      </c>
      <c r="I11" t="inlineStr">
        <is>
          <t>HR System</t>
        </is>
      </c>
      <c r="J11" t="inlineStr">
        <is>
          <t>Tax Manager</t>
        </is>
      </c>
      <c r="K11" t="inlineStr">
        <is>
          <t>Low</t>
        </is>
      </c>
      <c r="L11" t="inlineStr">
        <is>
          <t>Valid phone format</t>
        </is>
      </c>
      <c r="M11" t="inlineStr">
        <is>
          <t>Optional contact method</t>
        </is>
      </c>
      <c r="N11" t="inlineStr">
        <is>
          <t>Not Started</t>
        </is>
      </c>
    </row>
    <row r="12">
      <c r="A12" t="inlineStr">
        <is>
          <t>S1-011</t>
        </is>
      </c>
      <c r="B12" t="inlineStr">
        <is>
          <t>Section 1</t>
        </is>
      </c>
      <c r="C12" t="inlineStr">
        <is>
          <t>1.2 UPE Info</t>
        </is>
      </c>
      <c r="D12" t="inlineStr">
        <is>
          <t>UPEName</t>
        </is>
      </c>
      <c r="E12" t="inlineStr">
        <is>
          <t>Legal name of Ultimate Parent Entity</t>
        </is>
      </c>
      <c r="F12" t="inlineStr">
        <is>
          <t>String</t>
        </is>
      </c>
      <c r="G12" t="inlineStr">
        <is>
          <t>Yes</t>
        </is>
      </c>
      <c r="H12" t="inlineStr">
        <is>
          <t>GIR/UPE/Name</t>
        </is>
      </c>
      <c r="I12" t="inlineStr">
        <is>
          <t>Legal Entity Master</t>
        </is>
      </c>
      <c r="J12" t="inlineStr">
        <is>
          <t>Group Tax</t>
        </is>
      </c>
      <c r="K12" t="inlineStr">
        <is>
          <t>Critical</t>
        </is>
      </c>
      <c r="L12" t="inlineStr">
        <is>
          <t>Must match registered name</t>
        </is>
      </c>
      <c r="M12" t="inlineStr">
        <is>
          <t>Group parent identification</t>
        </is>
      </c>
      <c r="N12" t="inlineStr">
        <is>
          <t>Not Started</t>
        </is>
      </c>
    </row>
    <row r="13">
      <c r="A13" t="inlineStr">
        <is>
          <t>S1-012</t>
        </is>
      </c>
      <c r="B13" t="inlineStr">
        <is>
          <t>Section 1</t>
        </is>
      </c>
      <c r="C13" t="inlineStr">
        <is>
          <t>1.2 UPE Info</t>
        </is>
      </c>
      <c r="D13" t="inlineStr">
        <is>
          <t>UPETIN</t>
        </is>
      </c>
      <c r="E13" t="inlineStr">
        <is>
          <t>Tax Identification Number of UPE</t>
        </is>
      </c>
      <c r="F13" t="inlineStr">
        <is>
          <t>String</t>
        </is>
      </c>
      <c r="G13" t="inlineStr">
        <is>
          <t>Yes</t>
        </is>
      </c>
      <c r="H13" t="inlineStr">
        <is>
          <t>GIR/UPE/TIN</t>
        </is>
      </c>
      <c r="I13" t="inlineStr">
        <is>
          <t>Tax Registration DB</t>
        </is>
      </c>
      <c r="J13" t="inlineStr">
        <is>
          <t>Group Tax</t>
        </is>
      </c>
      <c r="K13" t="inlineStr">
        <is>
          <t>Critical</t>
        </is>
      </c>
      <c r="L13" t="inlineStr">
        <is>
          <t>Valid TIN format</t>
        </is>
      </c>
      <c r="M13" t="inlineStr">
        <is>
          <t>May differ from Filing CE</t>
        </is>
      </c>
      <c r="N13" t="inlineStr">
        <is>
          <t>Not Started</t>
        </is>
      </c>
    </row>
    <row r="14">
      <c r="A14" t="inlineStr">
        <is>
          <t>S1-013</t>
        </is>
      </c>
      <c r="B14" t="inlineStr">
        <is>
          <t>Section 1</t>
        </is>
      </c>
      <c r="C14" t="inlineStr">
        <is>
          <t>1.2 UPE Info</t>
        </is>
      </c>
      <c r="D14" t="inlineStr">
        <is>
          <t>UPEJurisdiction</t>
        </is>
      </c>
      <c r="E14" t="inlineStr">
        <is>
          <t>Jurisdiction where UPE is located</t>
        </is>
      </c>
      <c r="F14" t="inlineStr">
        <is>
          <t>Country Code</t>
        </is>
      </c>
      <c r="G14" t="inlineStr">
        <is>
          <t>Yes</t>
        </is>
      </c>
      <c r="H14" t="inlineStr">
        <is>
          <t>GIR/UPE/Jurisdiction</t>
        </is>
      </c>
      <c r="I14" t="inlineStr">
        <is>
          <t>Legal Entity Master</t>
        </is>
      </c>
      <c r="J14" t="inlineStr">
        <is>
          <t>Group Tax</t>
        </is>
      </c>
      <c r="K14" t="inlineStr">
        <is>
          <t>Critical</t>
        </is>
      </c>
      <c r="L14" t="inlineStr">
        <is>
          <t>ISO 3166-1 alpha-2</t>
        </is>
      </c>
      <c r="M14" t="inlineStr">
        <is>
          <t>Determines IIR applicability</t>
        </is>
      </c>
      <c r="N14" t="inlineStr">
        <is>
          <t>Not Started</t>
        </is>
      </c>
    </row>
    <row r="15">
      <c r="A15" t="inlineStr">
        <is>
          <t>S1-014</t>
        </is>
      </c>
      <c r="B15" t="inlineStr">
        <is>
          <t>Section 1</t>
        </is>
      </c>
      <c r="C15" t="inlineStr">
        <is>
          <t>1.2 UPE Info</t>
        </is>
      </c>
      <c r="D15" t="inlineStr">
        <is>
          <t>UPEAddress</t>
        </is>
      </c>
      <c r="E15" t="inlineStr">
        <is>
          <t>Registered address of UPE</t>
        </is>
      </c>
      <c r="F15" t="inlineStr">
        <is>
          <t>String</t>
        </is>
      </c>
      <c r="G15" t="inlineStr">
        <is>
          <t>Yes</t>
        </is>
      </c>
      <c r="H15" t="inlineStr">
        <is>
          <t>GIR/UPE/Address</t>
        </is>
      </c>
      <c r="I15" t="inlineStr">
        <is>
          <t>Legal Entity Master</t>
        </is>
      </c>
      <c r="J15" t="inlineStr">
        <is>
          <t>Corporate Secretary</t>
        </is>
      </c>
      <c r="K15" t="inlineStr">
        <is>
          <t>High</t>
        </is>
      </c>
      <c r="L15" t="inlineStr">
        <is>
          <t>Complete address required</t>
        </is>
      </c>
      <c r="M15" t="inlineStr">
        <is>
          <t>Official registered office</t>
        </is>
      </c>
      <c r="N15" t="inlineStr">
        <is>
          <t>Not Started</t>
        </is>
      </c>
    </row>
    <row r="16">
      <c r="A16" t="inlineStr">
        <is>
          <t>S1-015</t>
        </is>
      </c>
      <c r="B16" t="inlineStr">
        <is>
          <t>Section 1</t>
        </is>
      </c>
      <c r="C16" t="inlineStr">
        <is>
          <t>1.2 UPE Info</t>
        </is>
      </c>
      <c r="D16" t="inlineStr">
        <is>
          <t>UPEIncorporationDate</t>
        </is>
      </c>
      <c r="E16" t="inlineStr">
        <is>
          <t>Date UPE was incorporated</t>
        </is>
      </c>
      <c r="F16" t="inlineStr">
        <is>
          <t>Date</t>
        </is>
      </c>
      <c r="G16" t="inlineStr">
        <is>
          <t>No</t>
        </is>
      </c>
      <c r="H16" t="inlineStr">
        <is>
          <t>GIR/UPE/IncorporationDate</t>
        </is>
      </c>
      <c r="I16" t="inlineStr">
        <is>
          <t>Legal Entity Master</t>
        </is>
      </c>
      <c r="J16" t="inlineStr">
        <is>
          <t>Corporate Secretary</t>
        </is>
      </c>
      <c r="K16" t="inlineStr">
        <is>
          <t>Low</t>
        </is>
      </c>
      <c r="L16" t="inlineStr">
        <is>
          <t>Valid date format</t>
        </is>
      </c>
      <c r="M16" t="inlineStr">
        <is>
          <t>For transitional rules</t>
        </is>
      </c>
      <c r="N16" t="inlineStr">
        <is>
          <t>Not Started</t>
        </is>
      </c>
    </row>
    <row r="17">
      <c r="A17" t="inlineStr">
        <is>
          <t>S1-016</t>
        </is>
      </c>
      <c r="B17" t="inlineStr">
        <is>
          <t>Section 1</t>
        </is>
      </c>
      <c r="C17" t="inlineStr">
        <is>
          <t>1.2 UPE Info</t>
        </is>
      </c>
      <c r="D17" t="inlineStr">
        <is>
          <t>UPEFiscalYearEnd</t>
        </is>
      </c>
      <c r="E17" t="inlineStr">
        <is>
          <t>Fiscal year end date of UPE</t>
        </is>
      </c>
      <c r="F17" t="inlineStr">
        <is>
          <t>Date</t>
        </is>
      </c>
      <c r="G17" t="inlineStr">
        <is>
          <t>Yes</t>
        </is>
      </c>
      <c r="H17" t="inlineStr">
        <is>
          <t>GIR/UPE/FiscalYearEnd</t>
        </is>
      </c>
      <c r="I17" t="inlineStr">
        <is>
          <t>Financial Calendar</t>
        </is>
      </c>
      <c r="J17" t="inlineStr">
        <is>
          <t>Group Tax</t>
        </is>
      </c>
      <c r="K17" t="inlineStr">
        <is>
          <t>Critical</t>
        </is>
      </c>
      <c r="L17" t="inlineStr">
        <is>
          <t>Valid date DD-MMM</t>
        </is>
      </c>
      <c r="M17" t="inlineStr">
        <is>
          <t>Determines filing periods</t>
        </is>
      </c>
      <c r="N17" t="inlineStr">
        <is>
          <t>Not Started</t>
        </is>
      </c>
    </row>
    <row r="18">
      <c r="A18" t="inlineStr">
        <is>
          <t>S1-017</t>
        </is>
      </c>
      <c r="B18" t="inlineStr">
        <is>
          <t>Section 1</t>
        </is>
      </c>
      <c r="C18" t="inlineStr">
        <is>
          <t>1.2 UPE Info</t>
        </is>
      </c>
      <c r="D18" t="inlineStr">
        <is>
          <t>ConsolidatedRevenue</t>
        </is>
      </c>
      <c r="E18" t="inlineStr">
        <is>
          <t>Consolidated group revenue (EUR)</t>
        </is>
      </c>
      <c r="F18" t="inlineStr">
        <is>
          <t>Decimal</t>
        </is>
      </c>
      <c r="G18" t="inlineStr">
        <is>
          <t>Yes</t>
        </is>
      </c>
      <c r="H18" t="inlineStr">
        <is>
          <t>GIR/UPE/ConsolidatedRevenue</t>
        </is>
      </c>
      <c r="I18" t="inlineStr">
        <is>
          <t>Consolidation System</t>
        </is>
      </c>
      <c r="J18" t="inlineStr">
        <is>
          <t>Group Finance</t>
        </is>
      </c>
      <c r="K18" t="inlineStr">
        <is>
          <t>Critical</t>
        </is>
      </c>
      <c r="L18" t="inlineStr">
        <is>
          <t>&gt;= 750000000 for in-scope</t>
        </is>
      </c>
      <c r="M18" t="inlineStr">
        <is>
          <t>Threshold test amount</t>
        </is>
      </c>
      <c r="N18" t="inlineStr">
        <is>
          <t>Not Started</t>
        </is>
      </c>
    </row>
    <row r="19">
      <c r="A19" t="inlineStr">
        <is>
          <t>S1-018</t>
        </is>
      </c>
      <c r="B19" t="inlineStr">
        <is>
          <t>Section 1</t>
        </is>
      </c>
      <c r="C19" t="inlineStr">
        <is>
          <t>1.2 UPE Info</t>
        </is>
      </c>
      <c r="D19" t="inlineStr">
        <is>
          <t>ReportingCurrency</t>
        </is>
      </c>
      <c r="E19" t="inlineStr">
        <is>
          <t>Currency used for GIR reporting</t>
        </is>
      </c>
      <c r="F19" t="inlineStr">
        <is>
          <t>Currency Code</t>
        </is>
      </c>
      <c r="G19" t="inlineStr">
        <is>
          <t>Yes</t>
        </is>
      </c>
      <c r="H19" t="inlineStr">
        <is>
          <t>GIR/UPE/ReportingCurrency</t>
        </is>
      </c>
      <c r="I19" t="inlineStr">
        <is>
          <t>GIR Configuration</t>
        </is>
      </c>
      <c r="J19" t="inlineStr">
        <is>
          <t>Group Tax</t>
        </is>
      </c>
      <c r="K19" t="inlineStr">
        <is>
          <t>Critical</t>
        </is>
      </c>
      <c r="L19" t="inlineStr">
        <is>
          <t>ISO 4217 currency code</t>
        </is>
      </c>
      <c r="M19" t="inlineStr">
        <is>
          <t>Usually EUR or local</t>
        </is>
      </c>
      <c r="N19" t="inlineStr">
        <is>
          <t>Not Started</t>
        </is>
      </c>
    </row>
    <row r="20">
      <c r="A20" t="inlineStr">
        <is>
          <t>S1-019</t>
        </is>
      </c>
      <c r="B20" t="inlineStr">
        <is>
          <t>Section 1</t>
        </is>
      </c>
      <c r="C20" t="inlineStr">
        <is>
          <t>1.2 UPE Info</t>
        </is>
      </c>
      <c r="D20" t="inlineStr">
        <is>
          <t>ExchangeRateMethod</t>
        </is>
      </c>
      <c r="E20" t="inlineStr">
        <is>
          <t>Method for currency translation</t>
        </is>
      </c>
      <c r="F20" t="inlineStr">
        <is>
          <t>Enumeration</t>
        </is>
      </c>
      <c r="G20" t="inlineStr">
        <is>
          <t>Yes</t>
        </is>
      </c>
      <c r="H20" t="inlineStr">
        <is>
          <t>GIR/UPE/ExchangeRateMethod</t>
        </is>
      </c>
      <c r="I20" t="inlineStr">
        <is>
          <t>GIR Configuration</t>
        </is>
      </c>
      <c r="J20" t="inlineStr">
        <is>
          <t>Group Tax</t>
        </is>
      </c>
      <c r="K20" t="inlineStr">
        <is>
          <t>High</t>
        </is>
      </c>
      <c r="L20" t="inlineStr">
        <is>
          <t>Average or Spot rate</t>
        </is>
      </c>
      <c r="M20" t="inlineStr">
        <is>
          <t>Consistent application required</t>
        </is>
      </c>
      <c r="N20" t="inlineStr">
        <is>
          <t>Not Started</t>
        </is>
      </c>
    </row>
    <row r="21">
      <c r="A21" t="inlineStr">
        <is>
          <t>S1-020</t>
        </is>
      </c>
      <c r="B21" t="inlineStr">
        <is>
          <t>Section 1</t>
        </is>
      </c>
      <c r="C21" t="inlineStr">
        <is>
          <t>1.2 UPE Info</t>
        </is>
      </c>
      <c r="D21" t="inlineStr">
        <is>
          <t>AccountingStandard</t>
        </is>
      </c>
      <c r="E21" t="inlineStr">
        <is>
          <t>Accounting framework used</t>
        </is>
      </c>
      <c r="F21" t="inlineStr">
        <is>
          <t>Enumeration</t>
        </is>
      </c>
      <c r="G21" t="inlineStr">
        <is>
          <t>Yes</t>
        </is>
      </c>
      <c r="H21" t="inlineStr">
        <is>
          <t>GIR/UPE/AccountingStandard</t>
        </is>
      </c>
      <c r="I21" t="inlineStr">
        <is>
          <t>GIR Configuration</t>
        </is>
      </c>
      <c r="J21" t="inlineStr">
        <is>
          <t>Group Finance</t>
        </is>
      </c>
      <c r="K21" t="inlineStr">
        <is>
          <t>Critical</t>
        </is>
      </c>
      <c r="L21" t="inlineStr">
        <is>
          <t>IFRS/Local GAAP/US GAAP</t>
        </is>
      </c>
      <c r="M21" t="inlineStr">
        <is>
          <t>Affects adjustments</t>
        </is>
      </c>
      <c r="N21" t="inlineStr">
        <is>
          <t>Not Started</t>
        </is>
      </c>
    </row>
    <row r="22">
      <c r="A22" t="inlineStr">
        <is>
          <t>S1-021</t>
        </is>
      </c>
      <c r="B22" t="inlineStr">
        <is>
          <t>Section 1</t>
        </is>
      </c>
      <c r="C22" t="inlineStr">
        <is>
          <t>1.3 Corporate Structure</t>
        </is>
      </c>
      <c r="D22" t="inlineStr">
        <is>
          <t>TotalConstituentEntities</t>
        </is>
      </c>
      <c r="E22" t="inlineStr">
        <is>
          <t>Total number of CEs in group</t>
        </is>
      </c>
      <c r="F22" t="inlineStr">
        <is>
          <t>Integer</t>
        </is>
      </c>
      <c r="G22" t="inlineStr">
        <is>
          <t>Yes</t>
        </is>
      </c>
      <c r="H22" t="inlineStr">
        <is>
          <t>GIR/Structure/TotalCEs</t>
        </is>
      </c>
      <c r="I22" t="inlineStr">
        <is>
          <t>Legal Entity Master</t>
        </is>
      </c>
      <c r="J22" t="inlineStr">
        <is>
          <t>Group Tax</t>
        </is>
      </c>
      <c r="K22" t="inlineStr">
        <is>
          <t>High</t>
        </is>
      </c>
      <c r="L22" t="inlineStr">
        <is>
          <t>Positive integer</t>
        </is>
      </c>
      <c r="M22" t="inlineStr">
        <is>
          <t>Include all owned entities</t>
        </is>
      </c>
      <c r="N22" t="inlineStr">
        <is>
          <t>Not Started</t>
        </is>
      </c>
    </row>
    <row r="23">
      <c r="A23" t="inlineStr">
        <is>
          <t>S1-022</t>
        </is>
      </c>
      <c r="B23" t="inlineStr">
        <is>
          <t>Section 1</t>
        </is>
      </c>
      <c r="C23" t="inlineStr">
        <is>
          <t>1.3 Corporate Structure</t>
        </is>
      </c>
      <c r="D23" t="inlineStr">
        <is>
          <t>JurisdictionCount</t>
        </is>
      </c>
      <c r="E23" t="inlineStr">
        <is>
          <t>Number of jurisdictions with CEs</t>
        </is>
      </c>
      <c r="F23" t="inlineStr">
        <is>
          <t>Integer</t>
        </is>
      </c>
      <c r="G23" t="inlineStr">
        <is>
          <t>Yes</t>
        </is>
      </c>
      <c r="H23" t="inlineStr">
        <is>
          <t>GIR/Structure/JurisdictionCount</t>
        </is>
      </c>
      <c r="I23" t="inlineStr">
        <is>
          <t>Legal Entity Master</t>
        </is>
      </c>
      <c r="J23" t="inlineStr">
        <is>
          <t>Group Tax</t>
        </is>
      </c>
      <c r="K23" t="inlineStr">
        <is>
          <t>High</t>
        </is>
      </c>
      <c r="L23" t="inlineStr">
        <is>
          <t>Positive integer</t>
        </is>
      </c>
      <c r="M23" t="inlineStr">
        <is>
          <t>Determines filing complexity</t>
        </is>
      </c>
      <c r="N23" t="inlineStr">
        <is>
          <t>Not Started</t>
        </is>
      </c>
    </row>
    <row r="24">
      <c r="A24" t="inlineStr">
        <is>
          <t>S1-023</t>
        </is>
      </c>
      <c r="B24" t="inlineStr">
        <is>
          <t>Section 1</t>
        </is>
      </c>
      <c r="C24" t="inlineStr">
        <is>
          <t>1.3 Corporate Structure</t>
        </is>
      </c>
      <c r="D24" t="inlineStr">
        <is>
          <t>CEName</t>
        </is>
      </c>
      <c r="E24" t="inlineStr">
        <is>
          <t>Name of each Constituent Entity</t>
        </is>
      </c>
      <c r="F24" t="inlineStr">
        <is>
          <t>String</t>
        </is>
      </c>
      <c r="G24" t="inlineStr">
        <is>
          <t>Yes</t>
        </is>
      </c>
      <c r="H24" t="inlineStr">
        <is>
          <t>GIR/Structure/CE/Name</t>
        </is>
      </c>
      <c r="I24" t="inlineStr">
        <is>
          <t>Legal Entity Master</t>
        </is>
      </c>
      <c r="J24" t="inlineStr">
        <is>
          <t>Group Tax</t>
        </is>
      </c>
      <c r="K24" t="inlineStr">
        <is>
          <t>Critical</t>
        </is>
      </c>
      <c r="L24" t="inlineStr">
        <is>
          <t>Must match registered name</t>
        </is>
      </c>
      <c r="M24" t="inlineStr">
        <is>
          <t>Per entity row</t>
        </is>
      </c>
      <c r="N24" t="inlineStr">
        <is>
          <t>Not Started</t>
        </is>
      </c>
    </row>
    <row r="25">
      <c r="A25" t="inlineStr">
        <is>
          <t>S1-024</t>
        </is>
      </c>
      <c r="B25" t="inlineStr">
        <is>
          <t>Section 1</t>
        </is>
      </c>
      <c r="C25" t="inlineStr">
        <is>
          <t>1.3 Corporate Structure</t>
        </is>
      </c>
      <c r="D25" t="inlineStr">
        <is>
          <t>CETIN</t>
        </is>
      </c>
      <c r="E25" t="inlineStr">
        <is>
          <t>TIN of each Constituent Entity</t>
        </is>
      </c>
      <c r="F25" t="inlineStr">
        <is>
          <t>String</t>
        </is>
      </c>
      <c r="G25" t="inlineStr">
        <is>
          <t>Yes</t>
        </is>
      </c>
      <c r="H25" t="inlineStr">
        <is>
          <t>GIR/Structure/CE/TIN</t>
        </is>
      </c>
      <c r="I25" t="inlineStr">
        <is>
          <t>Tax Registration DB</t>
        </is>
      </c>
      <c r="J25" t="inlineStr">
        <is>
          <t>Tax Compliance</t>
        </is>
      </c>
      <c r="K25" t="inlineStr">
        <is>
          <t>Critical</t>
        </is>
      </c>
      <c r="L25" t="inlineStr">
        <is>
          <t>Valid local TIN format</t>
        </is>
      </c>
      <c r="M25" t="inlineStr">
        <is>
          <t>Per entity row</t>
        </is>
      </c>
      <c r="N25" t="inlineStr">
        <is>
          <t>Not Started</t>
        </is>
      </c>
    </row>
    <row r="26">
      <c r="A26" t="inlineStr">
        <is>
          <t>S1-025</t>
        </is>
      </c>
      <c r="B26" t="inlineStr">
        <is>
          <t>Section 1</t>
        </is>
      </c>
      <c r="C26" t="inlineStr">
        <is>
          <t>1.3 Corporate Structure</t>
        </is>
      </c>
      <c r="D26" t="inlineStr">
        <is>
          <t>CEJurisdiction</t>
        </is>
      </c>
      <c r="E26" t="inlineStr">
        <is>
          <t>Location of each CE</t>
        </is>
      </c>
      <c r="F26" t="inlineStr">
        <is>
          <t>Country Code</t>
        </is>
      </c>
      <c r="G26" t="inlineStr">
        <is>
          <t>Yes</t>
        </is>
      </c>
      <c r="H26" t="inlineStr">
        <is>
          <t>GIR/Structure/CE/Jurisdiction</t>
        </is>
      </c>
      <c r="I26" t="inlineStr">
        <is>
          <t>Legal Entity Master</t>
        </is>
      </c>
      <c r="J26" t="inlineStr">
        <is>
          <t>Group Tax</t>
        </is>
      </c>
      <c r="K26" t="inlineStr">
        <is>
          <t>Critical</t>
        </is>
      </c>
      <c r="L26" t="inlineStr">
        <is>
          <t>ISO 3166-1 alpha-2</t>
        </is>
      </c>
      <c r="M26" t="inlineStr">
        <is>
          <t>Per entity row</t>
        </is>
      </c>
      <c r="N26" t="inlineStr">
        <is>
          <t>Not Started</t>
        </is>
      </c>
    </row>
    <row r="27">
      <c r="A27" t="inlineStr">
        <is>
          <t>S1-026</t>
        </is>
      </c>
      <c r="B27" t="inlineStr">
        <is>
          <t>Section 1</t>
        </is>
      </c>
      <c r="C27" t="inlineStr">
        <is>
          <t>1.3 Corporate Structure</t>
        </is>
      </c>
      <c r="D27" t="inlineStr">
        <is>
          <t>CEOwnershipPercentage</t>
        </is>
      </c>
      <c r="E27" t="inlineStr">
        <is>
          <t>Ownership % in each CE</t>
        </is>
      </c>
      <c r="F27" t="inlineStr">
        <is>
          <t>Decimal</t>
        </is>
      </c>
      <c r="G27" t="inlineStr">
        <is>
          <t>Yes</t>
        </is>
      </c>
      <c r="H27" t="inlineStr">
        <is>
          <t>GIR/Structure/CE/Ownership</t>
        </is>
      </c>
      <c r="I27" t="inlineStr">
        <is>
          <t>Legal Entity Master</t>
        </is>
      </c>
      <c r="J27" t="inlineStr">
        <is>
          <t>Group Tax</t>
        </is>
      </c>
      <c r="K27" t="inlineStr">
        <is>
          <t>Critical</t>
        </is>
      </c>
      <c r="L27" t="inlineStr">
        <is>
          <t>0-100 percentage</t>
        </is>
      </c>
      <c r="M27" t="inlineStr">
        <is>
          <t>Determines consolidation</t>
        </is>
      </c>
      <c r="N27" t="inlineStr">
        <is>
          <t>Not Started</t>
        </is>
      </c>
    </row>
    <row r="28">
      <c r="A28" t="inlineStr">
        <is>
          <t>S1-027</t>
        </is>
      </c>
      <c r="B28" t="inlineStr">
        <is>
          <t>Section 1</t>
        </is>
      </c>
      <c r="C28" t="inlineStr">
        <is>
          <t>1.3 Corporate Structure</t>
        </is>
      </c>
      <c r="D28" t="inlineStr">
        <is>
          <t>CEEntityType</t>
        </is>
      </c>
      <c r="E28" t="inlineStr">
        <is>
          <t>Type of each CE</t>
        </is>
      </c>
      <c r="F28" t="inlineStr">
        <is>
          <t>Enumeration</t>
        </is>
      </c>
      <c r="G28" t="inlineStr">
        <is>
          <t>Yes</t>
        </is>
      </c>
      <c r="H28" t="inlineStr">
        <is>
          <t>GIR/Structure/CE/EntityType</t>
        </is>
      </c>
      <c r="I28" t="inlineStr">
        <is>
          <t>Legal Entity Master</t>
        </is>
      </c>
      <c r="J28" t="inlineStr">
        <is>
          <t>Group Tax</t>
        </is>
      </c>
      <c r="K28" t="inlineStr">
        <is>
          <t>High</t>
        </is>
      </c>
      <c r="L28" t="inlineStr">
        <is>
          <t>Valid entity type</t>
        </is>
      </c>
      <c r="M28" t="inlineStr">
        <is>
          <t>PE/JV/Investment Entity</t>
        </is>
      </c>
      <c r="N28" t="inlineStr">
        <is>
          <t>Not Started</t>
        </is>
      </c>
    </row>
    <row r="29">
      <c r="A29" t="inlineStr">
        <is>
          <t>S1-028</t>
        </is>
      </c>
      <c r="B29" t="inlineStr">
        <is>
          <t>Section 1</t>
        </is>
      </c>
      <c r="C29" t="inlineStr">
        <is>
          <t>1.3 Corporate Structure</t>
        </is>
      </c>
      <c r="D29" t="inlineStr">
        <is>
          <t>CEFlowThrough</t>
        </is>
      </c>
      <c r="E29" t="inlineStr">
        <is>
          <t>Whether CE is flow-through entity</t>
        </is>
      </c>
      <c r="F29" t="inlineStr">
        <is>
          <t>Boolean</t>
        </is>
      </c>
      <c r="G29" t="inlineStr">
        <is>
          <t>Yes</t>
        </is>
      </c>
      <c r="H29" t="inlineStr">
        <is>
          <t>GIR/Structure/CE/FlowThrough</t>
        </is>
      </c>
      <c r="I29" t="inlineStr">
        <is>
          <t>Legal Entity Master</t>
        </is>
      </c>
      <c r="J29" t="inlineStr">
        <is>
          <t>Group Tax</t>
        </is>
      </c>
      <c r="K29" t="inlineStr">
        <is>
          <t>High</t>
        </is>
      </c>
      <c r="L29" t="inlineStr">
        <is>
          <t>True/False</t>
        </is>
      </c>
      <c r="M29" t="inlineStr">
        <is>
          <t>Affects tax allocation</t>
        </is>
      </c>
      <c r="N29" t="inlineStr">
        <is>
          <t>Not Started</t>
        </is>
      </c>
    </row>
    <row r="30">
      <c r="A30" t="inlineStr">
        <is>
          <t>S1-029</t>
        </is>
      </c>
      <c r="B30" t="inlineStr">
        <is>
          <t>Section 1</t>
        </is>
      </c>
      <c r="C30" t="inlineStr">
        <is>
          <t>1.3 Corporate Structure</t>
        </is>
      </c>
      <c r="D30" t="inlineStr">
        <is>
          <t>CEExcluded</t>
        </is>
      </c>
      <c r="E30" t="inlineStr">
        <is>
          <t>Whether CE is excluded from scope</t>
        </is>
      </c>
      <c r="F30" t="inlineStr">
        <is>
          <t>Boolean</t>
        </is>
      </c>
      <c r="G30" t="inlineStr">
        <is>
          <t>Yes</t>
        </is>
      </c>
      <c r="H30" t="inlineStr">
        <is>
          <t>GIR/Structure/CE/Excluded</t>
        </is>
      </c>
      <c r="I30" t="inlineStr">
        <is>
          <t>GIR Configuration</t>
        </is>
      </c>
      <c r="J30" t="inlineStr">
        <is>
          <t>Group Tax</t>
        </is>
      </c>
      <c r="K30" t="inlineStr">
        <is>
          <t>High</t>
        </is>
      </c>
      <c r="L30" t="inlineStr">
        <is>
          <t>True/False</t>
        </is>
      </c>
      <c r="M30" t="inlineStr">
        <is>
          <t>Exclusion reason required</t>
        </is>
      </c>
      <c r="N30" t="inlineStr">
        <is>
          <t>Not Started</t>
        </is>
      </c>
    </row>
    <row r="31">
      <c r="A31" t="inlineStr">
        <is>
          <t>S1-030</t>
        </is>
      </c>
      <c r="B31" t="inlineStr">
        <is>
          <t>Section 1</t>
        </is>
      </c>
      <c r="C31" t="inlineStr">
        <is>
          <t>1.3 Corporate Structure</t>
        </is>
      </c>
      <c r="D31" t="inlineStr">
        <is>
          <t>CEExclusionReason</t>
        </is>
      </c>
      <c r="E31" t="inlineStr">
        <is>
          <t>Reason for CE exclusion if applicable</t>
        </is>
      </c>
      <c r="F31" t="inlineStr">
        <is>
          <t>Enumeration</t>
        </is>
      </c>
      <c r="G31" t="inlineStr">
        <is>
          <t>Conditional</t>
        </is>
      </c>
      <c r="H31" t="inlineStr">
        <is>
          <t>GIR/Structure/CE/ExclusionReason</t>
        </is>
      </c>
      <c r="I31" t="inlineStr">
        <is>
          <t>GIR Configuration</t>
        </is>
      </c>
      <c r="J31" t="inlineStr">
        <is>
          <t>Group Tax</t>
        </is>
      </c>
      <c r="K31" t="inlineStr">
        <is>
          <t>High</t>
        </is>
      </c>
      <c r="L31" t="inlineStr">
        <is>
          <t>Valid exclusion code</t>
        </is>
      </c>
      <c r="M31" t="inlineStr">
        <is>
          <t>Required if CEExcluded=True</t>
        </is>
      </c>
      <c r="N31" t="inlineStr">
        <is>
          <t>Not Started</t>
        </is>
      </c>
    </row>
    <row r="32">
      <c r="A32" t="inlineStr">
        <is>
          <t>S1-031</t>
        </is>
      </c>
      <c r="B32" t="inlineStr">
        <is>
          <t>Section 1</t>
        </is>
      </c>
      <c r="C32" t="inlineStr">
        <is>
          <t>1.3 Corporate Structure</t>
        </is>
      </c>
      <c r="D32" t="inlineStr">
        <is>
          <t>CELEIIN</t>
        </is>
      </c>
      <c r="E32" t="inlineStr">
        <is>
          <t>Legal Entity Identifier of CE</t>
        </is>
      </c>
      <c r="F32" t="inlineStr">
        <is>
          <t>String</t>
        </is>
      </c>
      <c r="G32" t="inlineStr">
        <is>
          <t>No</t>
        </is>
      </c>
      <c r="H32" t="inlineStr">
        <is>
          <t>GIR/Structure/CE/LEI</t>
        </is>
      </c>
      <c r="I32" t="inlineStr">
        <is>
          <t>Legal Entity Master</t>
        </is>
      </c>
      <c r="J32" t="inlineStr">
        <is>
          <t>Corporate Secretary</t>
        </is>
      </c>
      <c r="K32" t="inlineStr">
        <is>
          <t>Low</t>
        </is>
      </c>
      <c r="L32" t="inlineStr">
        <is>
          <t>Valid LEI format</t>
        </is>
      </c>
      <c r="M32" t="inlineStr">
        <is>
          <t>20-character alphanumeric</t>
        </is>
      </c>
      <c r="N32" t="inlineStr">
        <is>
          <t>Not Started</t>
        </is>
      </c>
    </row>
    <row r="33">
      <c r="A33" t="inlineStr">
        <is>
          <t>S1-032</t>
        </is>
      </c>
      <c r="B33" t="inlineStr">
        <is>
          <t>Section 1</t>
        </is>
      </c>
      <c r="C33" t="inlineStr">
        <is>
          <t>1.3 Corporate Structure</t>
        </is>
      </c>
      <c r="D33" t="inlineStr">
        <is>
          <t>CEIncorporationDate</t>
        </is>
      </c>
      <c r="E33" t="inlineStr">
        <is>
          <t>Incorporation date of CE</t>
        </is>
      </c>
      <c r="F33" t="inlineStr">
        <is>
          <t>Date</t>
        </is>
      </c>
      <c r="G33" t="inlineStr">
        <is>
          <t>No</t>
        </is>
      </c>
      <c r="H33" t="inlineStr">
        <is>
          <t>GIR/Structure/CE/IncorporationDate</t>
        </is>
      </c>
      <c r="I33" t="inlineStr">
        <is>
          <t>Legal Entity Master</t>
        </is>
      </c>
      <c r="J33" t="inlineStr">
        <is>
          <t>Corporate Secretary</t>
        </is>
      </c>
      <c r="K33" t="inlineStr">
        <is>
          <t>Low</t>
        </is>
      </c>
      <c r="L33" t="inlineStr">
        <is>
          <t>Valid date format</t>
        </is>
      </c>
      <c r="M33" t="inlineStr">
        <is>
          <t>For transitional rules</t>
        </is>
      </c>
      <c r="N33" t="inlineStr">
        <is>
          <t>Not Started</t>
        </is>
      </c>
    </row>
    <row r="34">
      <c r="A34" t="inlineStr">
        <is>
          <t>S1-033</t>
        </is>
      </c>
      <c r="B34" t="inlineStr">
        <is>
          <t>Section 1</t>
        </is>
      </c>
      <c r="C34" t="inlineStr">
        <is>
          <t>1.3 Corporate Structure</t>
        </is>
      </c>
      <c r="D34" t="inlineStr">
        <is>
          <t>CEFunctionalCurrency</t>
        </is>
      </c>
      <c r="E34" t="inlineStr">
        <is>
          <t>Functional currency of CE</t>
        </is>
      </c>
      <c r="F34" t="inlineStr">
        <is>
          <t>Currency Code</t>
        </is>
      </c>
      <c r="G34" t="inlineStr">
        <is>
          <t>Yes</t>
        </is>
      </c>
      <c r="H34" t="inlineStr">
        <is>
          <t>GIR/Structure/CE/FunctionalCurrency</t>
        </is>
      </c>
      <c r="I34" t="inlineStr">
        <is>
          <t>Financial System</t>
        </is>
      </c>
      <c r="J34" t="inlineStr">
        <is>
          <t>Local Finance</t>
        </is>
      </c>
      <c r="K34" t="inlineStr">
        <is>
          <t>High</t>
        </is>
      </c>
      <c r="L34" t="inlineStr">
        <is>
          <t>ISO 4217 code</t>
        </is>
      </c>
      <c r="M34" t="inlineStr">
        <is>
          <t>For translation</t>
        </is>
      </c>
      <c r="N34" t="inlineStr">
        <is>
          <t>Not Started</t>
        </is>
      </c>
    </row>
    <row r="35">
      <c r="A35" t="inlineStr">
        <is>
          <t>S1-034</t>
        </is>
      </c>
      <c r="B35" t="inlineStr">
        <is>
          <t>Section 1</t>
        </is>
      </c>
      <c r="C35" t="inlineStr">
        <is>
          <t>1.3 Corporate Structure</t>
        </is>
      </c>
      <c r="D35" t="inlineStr">
        <is>
          <t>CEMainActivity</t>
        </is>
      </c>
      <c r="E35" t="inlineStr">
        <is>
          <t>Primary business activity of CE</t>
        </is>
      </c>
      <c r="F35" t="inlineStr">
        <is>
          <t>String</t>
        </is>
      </c>
      <c r="G35" t="inlineStr">
        <is>
          <t>No</t>
        </is>
      </c>
      <c r="H35" t="inlineStr">
        <is>
          <t>GIR/Structure/CE/MainActivity</t>
        </is>
      </c>
      <c r="I35" t="inlineStr">
        <is>
          <t>Legal Entity Master</t>
        </is>
      </c>
      <c r="J35" t="inlineStr">
        <is>
          <t>Group Tax</t>
        </is>
      </c>
      <c r="K35" t="inlineStr">
        <is>
          <t>Medium</t>
        </is>
      </c>
      <c r="L35" t="inlineStr">
        <is>
          <t>Free text description</t>
        </is>
      </c>
      <c r="M35" t="inlineStr">
        <is>
          <t>For exclusion analysis</t>
        </is>
      </c>
      <c r="N35" t="inlineStr">
        <is>
          <t>Not Started</t>
        </is>
      </c>
    </row>
    <row r="36">
      <c r="A36" t="inlineStr">
        <is>
          <t>S1-035</t>
        </is>
      </c>
      <c r="B36" t="inlineStr">
        <is>
          <t>Section 1</t>
        </is>
      </c>
      <c r="C36" t="inlineStr">
        <is>
          <t>1.3 Corporate Structure</t>
        </is>
      </c>
      <c r="D36" t="inlineStr">
        <is>
          <t>ParentEntityName</t>
        </is>
      </c>
      <c r="E36" t="inlineStr">
        <is>
          <t>Name of immediate parent</t>
        </is>
      </c>
      <c r="F36" t="inlineStr">
        <is>
          <t>String</t>
        </is>
      </c>
      <c r="G36" t="inlineStr">
        <is>
          <t>Yes</t>
        </is>
      </c>
      <c r="H36" t="inlineStr">
        <is>
          <t>GIR/Structure/CE/ParentEntity</t>
        </is>
      </c>
      <c r="I36" t="inlineStr">
        <is>
          <t>Legal Entity Master</t>
        </is>
      </c>
      <c r="J36" t="inlineStr">
        <is>
          <t>Group Tax</t>
        </is>
      </c>
      <c r="K36" t="inlineStr">
        <is>
          <t>High</t>
        </is>
      </c>
      <c r="L36" t="inlineStr">
        <is>
          <t>Must match CE in structure</t>
        </is>
      </c>
      <c r="M36" t="inlineStr">
        <is>
          <t>Chain of ownership</t>
        </is>
      </c>
      <c r="N36" t="inlineStr">
        <is>
          <t>Not Started</t>
        </is>
      </c>
    </row>
    <row r="37">
      <c r="A37" t="inlineStr">
        <is>
          <t>S1-036</t>
        </is>
      </c>
      <c r="B37" t="inlineStr">
        <is>
          <t>Section 1</t>
        </is>
      </c>
      <c r="C37" t="inlineStr">
        <is>
          <t>1.4 Summary Info</t>
        </is>
      </c>
      <c r="D37" t="inlineStr">
        <is>
          <t>FilingPeriodStart</t>
        </is>
      </c>
      <c r="E37" t="inlineStr">
        <is>
          <t>Start date of fiscal period</t>
        </is>
      </c>
      <c r="F37" t="inlineStr">
        <is>
          <t>Date</t>
        </is>
      </c>
      <c r="G37" t="inlineStr">
        <is>
          <t>Yes</t>
        </is>
      </c>
      <c r="H37" t="inlineStr">
        <is>
          <t>GIR/Summary/PeriodStart</t>
        </is>
      </c>
      <c r="I37" t="inlineStr">
        <is>
          <t>Financial Calendar</t>
        </is>
      </c>
      <c r="J37" t="inlineStr">
        <is>
          <t>Group Tax</t>
        </is>
      </c>
      <c r="K37" t="inlineStr">
        <is>
          <t>Critical</t>
        </is>
      </c>
      <c r="L37" t="inlineStr">
        <is>
          <t>Valid date format</t>
        </is>
      </c>
      <c r="M37" t="inlineStr">
        <is>
          <t>Usually 01-Jan</t>
        </is>
      </c>
      <c r="N37" t="inlineStr">
        <is>
          <t>Not Started</t>
        </is>
      </c>
    </row>
    <row r="38">
      <c r="A38" t="inlineStr">
        <is>
          <t>S1-037</t>
        </is>
      </c>
      <c r="B38" t="inlineStr">
        <is>
          <t>Section 1</t>
        </is>
      </c>
      <c r="C38" t="inlineStr">
        <is>
          <t>1.4 Summary Info</t>
        </is>
      </c>
      <c r="D38" t="inlineStr">
        <is>
          <t>FilingPeriodEnd</t>
        </is>
      </c>
      <c r="E38" t="inlineStr">
        <is>
          <t>End date of fiscal period</t>
        </is>
      </c>
      <c r="F38" t="inlineStr">
        <is>
          <t>Date</t>
        </is>
      </c>
      <c r="G38" t="inlineStr">
        <is>
          <t>Yes</t>
        </is>
      </c>
      <c r="H38" t="inlineStr">
        <is>
          <t>GIR/Summary/PeriodEnd</t>
        </is>
      </c>
      <c r="I38" t="inlineStr">
        <is>
          <t>Financial Calendar</t>
        </is>
      </c>
      <c r="J38" t="inlineStr">
        <is>
          <t>Group Tax</t>
        </is>
      </c>
      <c r="K38" t="inlineStr">
        <is>
          <t>Critical</t>
        </is>
      </c>
      <c r="L38" t="inlineStr">
        <is>
          <t>Valid date format</t>
        </is>
      </c>
      <c r="M38" t="inlineStr">
        <is>
          <t>Usually 31-Dec</t>
        </is>
      </c>
      <c r="N38" t="inlineStr">
        <is>
          <t>Not Started</t>
        </is>
      </c>
    </row>
    <row r="39">
      <c r="A39" t="inlineStr">
        <is>
          <t>S1-038</t>
        </is>
      </c>
      <c r="B39" t="inlineStr">
        <is>
          <t>Section 1</t>
        </is>
      </c>
      <c r="C39" t="inlineStr">
        <is>
          <t>1.4 Summary Info</t>
        </is>
      </c>
      <c r="D39" t="inlineStr">
        <is>
          <t>GIRVersion</t>
        </is>
      </c>
      <c r="E39" t="inlineStr">
        <is>
          <t>Version of GIR XML schema used</t>
        </is>
      </c>
      <c r="F39" t="inlineStr">
        <is>
          <t>String</t>
        </is>
      </c>
      <c r="G39" t="inlineStr">
        <is>
          <t>Yes</t>
        </is>
      </c>
      <c r="H39" t="inlineStr">
        <is>
          <t>GIR/Summary/SchemaVersion</t>
        </is>
      </c>
      <c r="I39" t="inlineStr">
        <is>
          <t>GIR Configuration</t>
        </is>
      </c>
      <c r="J39" t="inlineStr">
        <is>
          <t>Tax Technology</t>
        </is>
      </c>
      <c r="K39" t="inlineStr">
        <is>
          <t>Critical</t>
        </is>
      </c>
      <c r="L39" t="inlineStr">
        <is>
          <t>Valid schema version</t>
        </is>
      </c>
      <c r="M39" t="inlineStr">
        <is>
          <t>v2.0 per OECD Jan 2025</t>
        </is>
      </c>
      <c r="N39" t="inlineStr">
        <is>
          <t>Not Started</t>
        </is>
      </c>
    </row>
    <row r="40">
      <c r="A40" t="inlineStr">
        <is>
          <t>S1-039</t>
        </is>
      </c>
      <c r="B40" t="inlineStr">
        <is>
          <t>Section 1</t>
        </is>
      </c>
      <c r="C40" t="inlineStr">
        <is>
          <t>1.4 Summary Info</t>
        </is>
      </c>
      <c r="D40" t="inlineStr">
        <is>
          <t>SubmissionType</t>
        </is>
      </c>
      <c r="E40" t="inlineStr">
        <is>
          <t>Type of submission (Original/Amended)</t>
        </is>
      </c>
      <c r="F40" t="inlineStr">
        <is>
          <t>Enumeration</t>
        </is>
      </c>
      <c r="G40" t="inlineStr">
        <is>
          <t>Yes</t>
        </is>
      </c>
      <c r="H40" t="inlineStr">
        <is>
          <t>GIR/Summary/SubmissionType</t>
        </is>
      </c>
      <c r="I40" t="inlineStr">
        <is>
          <t>GIR Configuration</t>
        </is>
      </c>
      <c r="J40" t="inlineStr">
        <is>
          <t>Group Tax</t>
        </is>
      </c>
      <c r="K40" t="inlineStr">
        <is>
          <t>Critical</t>
        </is>
      </c>
      <c r="L40" t="inlineStr">
        <is>
          <t>Original or Amended</t>
        </is>
      </c>
      <c r="M40" t="inlineStr">
        <is>
          <t>Track amendments</t>
        </is>
      </c>
      <c r="N40" t="inlineStr">
        <is>
          <t>Not Started</t>
        </is>
      </c>
    </row>
    <row r="41">
      <c r="A41" t="inlineStr">
        <is>
          <t>S1-040</t>
        </is>
      </c>
      <c r="B41" t="inlineStr">
        <is>
          <t>Section 1</t>
        </is>
      </c>
      <c r="C41" t="inlineStr">
        <is>
          <t>1.4 Summary Info</t>
        </is>
      </c>
      <c r="D41" t="inlineStr">
        <is>
          <t>AmendmentReason</t>
        </is>
      </c>
      <c r="E41" t="inlineStr">
        <is>
          <t>Reason for amendment if applicable</t>
        </is>
      </c>
      <c r="F41" t="inlineStr">
        <is>
          <t>String</t>
        </is>
      </c>
      <c r="G41" t="inlineStr">
        <is>
          <t>Conditional</t>
        </is>
      </c>
      <c r="H41" t="inlineStr">
        <is>
          <t>GIR/Summary/AmendmentReason</t>
        </is>
      </c>
      <c r="I41" t="inlineStr">
        <is>
          <t>GIR Configuration</t>
        </is>
      </c>
      <c r="J41" t="inlineStr">
        <is>
          <t>Group Tax</t>
        </is>
      </c>
      <c r="K41" t="inlineStr">
        <is>
          <t>High</t>
        </is>
      </c>
      <c r="L41" t="inlineStr">
        <is>
          <t>Required if Amended</t>
        </is>
      </c>
      <c r="M41" t="inlineStr">
        <is>
          <t>Audit trail</t>
        </is>
      </c>
      <c r="N41" t="inlineStr">
        <is>
          <t>Not Started</t>
        </is>
      </c>
    </row>
    <row r="42">
      <c r="A42" t="inlineStr">
        <is>
          <t>S1-041</t>
        </is>
      </c>
      <c r="B42" t="inlineStr">
        <is>
          <t>Section 1</t>
        </is>
      </c>
      <c r="C42" t="inlineStr">
        <is>
          <t>1.4 Summary Info</t>
        </is>
      </c>
      <c r="D42" t="inlineStr">
        <is>
          <t>TotalJurisdictionsReporting</t>
        </is>
      </c>
      <c r="E42" t="inlineStr">
        <is>
          <t>Count of jurisdictions in GIR</t>
        </is>
      </c>
      <c r="F42" t="inlineStr">
        <is>
          <t>Integer</t>
        </is>
      </c>
      <c r="G42" t="inlineStr">
        <is>
          <t>Yes</t>
        </is>
      </c>
      <c r="H42" t="inlineStr">
        <is>
          <t>GIR/Summary/TotalJurisdictions</t>
        </is>
      </c>
      <c r="I42" t="inlineStr">
        <is>
          <t>GIR Calculation</t>
        </is>
      </c>
      <c r="J42" t="inlineStr">
        <is>
          <t>Group Tax</t>
        </is>
      </c>
      <c r="K42" t="inlineStr">
        <is>
          <t>High</t>
        </is>
      </c>
      <c r="L42" t="inlineStr">
        <is>
          <t>Positive integer</t>
        </is>
      </c>
      <c r="M42" t="inlineStr">
        <is>
          <t>Summary statistic</t>
        </is>
      </c>
      <c r="N42" t="inlineStr">
        <is>
          <t>Not Started</t>
        </is>
      </c>
    </row>
    <row r="43">
      <c r="A43" t="inlineStr">
        <is>
          <t>S1-042</t>
        </is>
      </c>
      <c r="B43" t="inlineStr">
        <is>
          <t>Section 1</t>
        </is>
      </c>
      <c r="C43" t="inlineStr">
        <is>
          <t>1.4 Summary Info</t>
        </is>
      </c>
      <c r="D43" t="inlineStr">
        <is>
          <t>TotalTopUpTax</t>
        </is>
      </c>
      <c r="E43" t="inlineStr">
        <is>
          <t>Total top-up tax across all jurisdictions</t>
        </is>
      </c>
      <c r="F43" t="inlineStr">
        <is>
          <t>Decimal</t>
        </is>
      </c>
      <c r="G43" t="inlineStr">
        <is>
          <t>Yes</t>
        </is>
      </c>
      <c r="H43" t="inlineStr">
        <is>
          <t>GIR/Summary/TotalTopUpTax</t>
        </is>
      </c>
      <c r="I43" t="inlineStr">
        <is>
          <t>GIR Calculation</t>
        </is>
      </c>
      <c r="J43" t="inlineStr">
        <is>
          <t>Group Tax</t>
        </is>
      </c>
      <c r="K43" t="inlineStr">
        <is>
          <t>Critical</t>
        </is>
      </c>
      <c r="L43" t="inlineStr">
        <is>
          <t>&gt;= 0</t>
        </is>
      </c>
      <c r="M43" t="inlineStr">
        <is>
          <t>Key output metric</t>
        </is>
      </c>
      <c r="N43" t="inlineStr">
        <is>
          <t>Not Started</t>
        </is>
      </c>
    </row>
    <row r="44">
      <c r="A44" t="inlineStr">
        <is>
          <t>S1-043</t>
        </is>
      </c>
      <c r="B44" t="inlineStr">
        <is>
          <t>Section 1</t>
        </is>
      </c>
      <c r="C44" t="inlineStr">
        <is>
          <t>1.4 Summary Info</t>
        </is>
      </c>
      <c r="D44" t="inlineStr">
        <is>
          <t>TotalIIRAllocation</t>
        </is>
      </c>
      <c r="E44" t="inlineStr">
        <is>
          <t>Total IIR allocation amount</t>
        </is>
      </c>
      <c r="F44" t="inlineStr">
        <is>
          <t>Decimal</t>
        </is>
      </c>
      <c r="G44" t="inlineStr">
        <is>
          <t>Yes</t>
        </is>
      </c>
      <c r="H44" t="inlineStr">
        <is>
          <t>GIR/Summary/TotalIIR</t>
        </is>
      </c>
      <c r="I44" t="inlineStr">
        <is>
          <t>GIR Calculation</t>
        </is>
      </c>
      <c r="J44" t="inlineStr">
        <is>
          <t>Group Tax</t>
        </is>
      </c>
      <c r="K44" t="inlineStr">
        <is>
          <t>Critical</t>
        </is>
      </c>
      <c r="L44" t="inlineStr">
        <is>
          <t>&gt;= 0</t>
        </is>
      </c>
      <c r="M44" t="inlineStr">
        <is>
          <t>IIR component</t>
        </is>
      </c>
      <c r="N44" t="inlineStr">
        <is>
          <t>Not Started</t>
        </is>
      </c>
    </row>
    <row r="45">
      <c r="A45" t="inlineStr">
        <is>
          <t>S1-044</t>
        </is>
      </c>
      <c r="B45" t="inlineStr">
        <is>
          <t>Section 1</t>
        </is>
      </c>
      <c r="C45" t="inlineStr">
        <is>
          <t>1.4 Summary Info</t>
        </is>
      </c>
      <c r="D45" t="inlineStr">
        <is>
          <t>TotalUTPRAllocation</t>
        </is>
      </c>
      <c r="E45" t="inlineStr">
        <is>
          <t>Total UTPR allocation amount</t>
        </is>
      </c>
      <c r="F45" t="inlineStr">
        <is>
          <t>Decimal</t>
        </is>
      </c>
      <c r="G45" t="inlineStr">
        <is>
          <t>Yes</t>
        </is>
      </c>
      <c r="H45" t="inlineStr">
        <is>
          <t>GIR/Summary/TotalUTPR</t>
        </is>
      </c>
      <c r="I45" t="inlineStr">
        <is>
          <t>GIR Calculation</t>
        </is>
      </c>
      <c r="J45" t="inlineStr">
        <is>
          <t>Group Tax</t>
        </is>
      </c>
      <c r="K45" t="inlineStr">
        <is>
          <t>Critical</t>
        </is>
      </c>
      <c r="L45" t="inlineStr">
        <is>
          <t>&gt;= 0</t>
        </is>
      </c>
      <c r="M45" t="inlineStr">
        <is>
          <t>UTPR component</t>
        </is>
      </c>
      <c r="N45" t="inlineStr">
        <is>
          <t>Not Started</t>
        </is>
      </c>
    </row>
    <row r="46">
      <c r="A46" t="inlineStr">
        <is>
          <t>S1-045</t>
        </is>
      </c>
      <c r="B46" t="inlineStr">
        <is>
          <t>Section 1</t>
        </is>
      </c>
      <c r="C46" t="inlineStr">
        <is>
          <t>1.4 Summary Info</t>
        </is>
      </c>
      <c r="D46" t="inlineStr">
        <is>
          <t>TotalQDMTTCredit</t>
        </is>
      </c>
      <c r="E46" t="inlineStr">
        <is>
          <t>Total QDMTT credits claimed</t>
        </is>
      </c>
      <c r="F46" t="inlineStr">
        <is>
          <t>Decimal</t>
        </is>
      </c>
      <c r="G46" t="inlineStr">
        <is>
          <t>Yes</t>
        </is>
      </c>
      <c r="H46" t="inlineStr">
        <is>
          <t>GIR/Summary/TotalQDMTT</t>
        </is>
      </c>
      <c r="I46" t="inlineStr">
        <is>
          <t>GIR Calculation</t>
        </is>
      </c>
      <c r="J46" t="inlineStr">
        <is>
          <t>Group Tax</t>
        </is>
      </c>
      <c r="K46" t="inlineStr">
        <is>
          <t>Critical</t>
        </is>
      </c>
      <c r="L46" t="inlineStr">
        <is>
          <t>&gt;= 0</t>
        </is>
      </c>
      <c r="M46" t="inlineStr">
        <is>
          <t>QDMTT offset</t>
        </is>
      </c>
      <c r="N46" t="inlineStr">
        <is>
          <t>Not Started</t>
        </is>
      </c>
    </row>
    <row r="47">
      <c r="A47" t="inlineStr">
        <is>
          <t>S1-046</t>
        </is>
      </c>
      <c r="B47" t="inlineStr">
        <is>
          <t>Section 1</t>
        </is>
      </c>
      <c r="C47" t="inlineStr">
        <is>
          <t>1.4 Summary Info</t>
        </is>
      </c>
      <c r="D47" t="inlineStr">
        <is>
          <t>SafeHarbourJurisdictions</t>
        </is>
      </c>
      <c r="E47" t="inlineStr">
        <is>
          <t>Count using safe harbour</t>
        </is>
      </c>
      <c r="F47" t="inlineStr">
        <is>
          <t>Integer</t>
        </is>
      </c>
      <c r="G47" t="inlineStr">
        <is>
          <t>Yes</t>
        </is>
      </c>
      <c r="H47" t="inlineStr">
        <is>
          <t>GIR/Summary/SafeHarbourCount</t>
        </is>
      </c>
      <c r="I47" t="inlineStr">
        <is>
          <t>GIR Calculation</t>
        </is>
      </c>
      <c r="J47" t="inlineStr">
        <is>
          <t>Group Tax</t>
        </is>
      </c>
      <c r="K47" t="inlineStr">
        <is>
          <t>High</t>
        </is>
      </c>
      <c r="L47" t="inlineStr">
        <is>
          <t>&gt;= 0</t>
        </is>
      </c>
      <c r="M47" t="inlineStr">
        <is>
          <t>Simplified calculation</t>
        </is>
      </c>
      <c r="N47" t="inlineStr">
        <is>
          <t>Not Started</t>
        </is>
      </c>
    </row>
    <row r="48">
      <c r="A48" t="inlineStr">
        <is>
          <t>S1-047</t>
        </is>
      </c>
      <c r="B48" t="inlineStr">
        <is>
          <t>Section 1</t>
        </is>
      </c>
      <c r="C48" t="inlineStr">
        <is>
          <t>1.4 Summary Info</t>
        </is>
      </c>
      <c r="D48" t="inlineStr">
        <is>
          <t>ExcludedEntityCount</t>
        </is>
      </c>
      <c r="E48" t="inlineStr">
        <is>
          <t>Count of excluded entities</t>
        </is>
      </c>
      <c r="F48" t="inlineStr">
        <is>
          <t>Integer</t>
        </is>
      </c>
      <c r="G48" t="inlineStr">
        <is>
          <t>Yes</t>
        </is>
      </c>
      <c r="H48" t="inlineStr">
        <is>
          <t>GIR/Summary/ExcludedCount</t>
        </is>
      </c>
      <c r="I48" t="inlineStr">
        <is>
          <t>GIR Calculation</t>
        </is>
      </c>
      <c r="J48" t="inlineStr">
        <is>
          <t>Group Tax</t>
        </is>
      </c>
      <c r="K48" t="inlineStr">
        <is>
          <t>Medium</t>
        </is>
      </c>
      <c r="L48" t="inlineStr">
        <is>
          <t>&gt;= 0</t>
        </is>
      </c>
      <c r="M48" t="inlineStr">
        <is>
          <t>Tracking exclusions</t>
        </is>
      </c>
      <c r="N48" t="inlineStr">
        <is>
          <t>Not Started</t>
        </is>
      </c>
    </row>
    <row r="49">
      <c r="A49" t="inlineStr">
        <is>
          <t>S1-048</t>
        </is>
      </c>
      <c r="B49" t="inlineStr">
        <is>
          <t>Section 1</t>
        </is>
      </c>
      <c r="C49" t="inlineStr">
        <is>
          <t>1.4 Summary Info</t>
        </is>
      </c>
      <c r="D49" t="inlineStr">
        <is>
          <t>DeclarationDate</t>
        </is>
      </c>
      <c r="E49" t="inlineStr">
        <is>
          <t>Date of GIR declaration</t>
        </is>
      </c>
      <c r="F49" t="inlineStr">
        <is>
          <t>Date</t>
        </is>
      </c>
      <c r="G49" t="inlineStr">
        <is>
          <t>Yes</t>
        </is>
      </c>
      <c r="H49" t="inlineStr">
        <is>
          <t>GIR/Summary/DeclarationDate</t>
        </is>
      </c>
      <c r="I49" t="inlineStr">
        <is>
          <t>GIR Configuration</t>
        </is>
      </c>
      <c r="J49" t="inlineStr">
        <is>
          <t>Group Tax</t>
        </is>
      </c>
      <c r="K49" t="inlineStr">
        <is>
          <t>Critical</t>
        </is>
      </c>
      <c r="L49" t="inlineStr">
        <is>
          <t>Valid date format</t>
        </is>
      </c>
      <c r="M49" t="inlineStr">
        <is>
          <t>Submission timestamp</t>
        </is>
      </c>
      <c r="N49" t="inlineStr">
        <is>
          <t>Not Started</t>
        </is>
      </c>
    </row>
    <row r="50">
      <c r="A50" t="inlineStr">
        <is>
          <t>S1-049</t>
        </is>
      </c>
      <c r="B50" t="inlineStr">
        <is>
          <t>Section 1</t>
        </is>
      </c>
      <c r="C50" t="inlineStr">
        <is>
          <t>1.4 Summary Info</t>
        </is>
      </c>
      <c r="D50" t="inlineStr">
        <is>
          <t>DeclarationSignatory</t>
        </is>
      </c>
      <c r="E50" t="inlineStr">
        <is>
          <t>Name of authorized signatory</t>
        </is>
      </c>
      <c r="F50" t="inlineStr">
        <is>
          <t>String</t>
        </is>
      </c>
      <c r="G50" t="inlineStr">
        <is>
          <t>Yes</t>
        </is>
      </c>
      <c r="H50" t="inlineStr">
        <is>
          <t>GIR/Summary/Signatory</t>
        </is>
      </c>
      <c r="I50" t="inlineStr">
        <is>
          <t>HR System</t>
        </is>
      </c>
      <c r="J50" t="inlineStr">
        <is>
          <t>Group Tax</t>
        </is>
      </c>
      <c r="K50" t="inlineStr">
        <is>
          <t>Critical</t>
        </is>
      </c>
      <c r="L50" t="inlineStr">
        <is>
          <t>Authorized person</t>
        </is>
      </c>
      <c r="M50" t="inlineStr">
        <is>
          <t>Legal responsibility</t>
        </is>
      </c>
      <c r="N50" t="inlineStr">
        <is>
          <t>Not Started</t>
        </is>
      </c>
    </row>
    <row r="51">
      <c r="A51" t="inlineStr">
        <is>
          <t>S1-050</t>
        </is>
      </c>
      <c r="B51" t="inlineStr">
        <is>
          <t>Section 1</t>
        </is>
      </c>
      <c r="C51" t="inlineStr">
        <is>
          <t>1.4 Summary Info</t>
        </is>
      </c>
      <c r="D51" t="inlineStr">
        <is>
          <t>DeclarationPosition</t>
        </is>
      </c>
      <c r="E51" t="inlineStr">
        <is>
          <t>Position of signatory</t>
        </is>
      </c>
      <c r="F51" t="inlineStr">
        <is>
          <t>String</t>
        </is>
      </c>
      <c r="G51" t="inlineStr">
        <is>
          <t>Yes</t>
        </is>
      </c>
      <c r="H51" t="inlineStr">
        <is>
          <t>GIR/Summary/SignatoryPosition</t>
        </is>
      </c>
      <c r="I51" t="inlineStr">
        <is>
          <t>HR System</t>
        </is>
      </c>
      <c r="J51" t="inlineStr">
        <is>
          <t>Group Tax</t>
        </is>
      </c>
      <c r="K51" t="inlineStr">
        <is>
          <t>High</t>
        </is>
      </c>
      <c r="L51" t="inlineStr">
        <is>
          <t>Job title</t>
        </is>
      </c>
      <c r="M51" t="inlineStr">
        <is>
          <t>Authority verification</t>
        </is>
      </c>
      <c r="N51" t="inlineStr">
        <is>
          <t>Not Started</t>
        </is>
      </c>
    </row>
    <row r="52">
      <c r="A52" t="inlineStr">
        <is>
          <t>S2-001</t>
        </is>
      </c>
      <c r="B52" t="inlineStr">
        <is>
          <t>Section 2</t>
        </is>
      </c>
      <c r="C52" t="inlineStr">
        <is>
          <t>2.1 Jurisdiction Chars</t>
        </is>
      </c>
      <c r="D52" t="inlineStr">
        <is>
          <t>JurisdictionCode</t>
        </is>
      </c>
      <c r="E52" t="inlineStr">
        <is>
          <t>Two-letter jurisdiction code</t>
        </is>
      </c>
      <c r="F52" t="inlineStr">
        <is>
          <t>Country Code</t>
        </is>
      </c>
      <c r="G52" t="inlineStr">
        <is>
          <t>Yes</t>
        </is>
      </c>
      <c r="H52" t="inlineStr">
        <is>
          <t>GIR/Jurisdictions/Jurisdiction/Code</t>
        </is>
      </c>
      <c r="I52" t="inlineStr">
        <is>
          <t>Reference Data</t>
        </is>
      </c>
      <c r="J52" t="inlineStr">
        <is>
          <t>Group Tax</t>
        </is>
      </c>
      <c r="K52" t="inlineStr">
        <is>
          <t>Critical</t>
        </is>
      </c>
      <c r="L52" t="inlineStr">
        <is>
          <t>ISO 3166-1 alpha-2</t>
        </is>
      </c>
      <c r="M52" t="inlineStr">
        <is>
          <t>Per jurisdiction row</t>
        </is>
      </c>
      <c r="N52" t="inlineStr">
        <is>
          <t>Not Started</t>
        </is>
      </c>
    </row>
    <row r="53">
      <c r="A53" t="inlineStr">
        <is>
          <t>S2-002</t>
        </is>
      </c>
      <c r="B53" t="inlineStr">
        <is>
          <t>Section 2</t>
        </is>
      </c>
      <c r="C53" t="inlineStr">
        <is>
          <t>2.1 Jurisdiction Chars</t>
        </is>
      </c>
      <c r="D53" t="inlineStr">
        <is>
          <t>JurisdictionName</t>
        </is>
      </c>
      <c r="E53" t="inlineStr">
        <is>
          <t>Full jurisdiction name</t>
        </is>
      </c>
      <c r="F53" t="inlineStr">
        <is>
          <t>String</t>
        </is>
      </c>
      <c r="G53" t="inlineStr">
        <is>
          <t>Yes</t>
        </is>
      </c>
      <c r="H53" t="inlineStr">
        <is>
          <t>GIR/Jurisdictions/Jurisdiction/Name</t>
        </is>
      </c>
      <c r="I53" t="inlineStr">
        <is>
          <t>Reference Data</t>
        </is>
      </c>
      <c r="J53" t="inlineStr">
        <is>
          <t>Group Tax</t>
        </is>
      </c>
      <c r="K53" t="inlineStr">
        <is>
          <t>High</t>
        </is>
      </c>
      <c r="L53" t="inlineStr">
        <is>
          <t>Standard country name</t>
        </is>
      </c>
      <c r="M53" t="inlineStr">
        <is>
          <t>For reporting</t>
        </is>
      </c>
      <c r="N53" t="inlineStr">
        <is>
          <t>Not Started</t>
        </is>
      </c>
    </row>
    <row r="54">
      <c r="A54" t="inlineStr">
        <is>
          <t>S2-003</t>
        </is>
      </c>
      <c r="B54" t="inlineStr">
        <is>
          <t>Section 2</t>
        </is>
      </c>
      <c r="C54" t="inlineStr">
        <is>
          <t>2.1 Jurisdiction Chars</t>
        </is>
      </c>
      <c r="D54" t="inlineStr">
        <is>
          <t>StatutoryTaxRate</t>
        </is>
      </c>
      <c r="E54" t="inlineStr">
        <is>
          <t>Statutory corporate tax rate</t>
        </is>
      </c>
      <c r="F54" t="inlineStr">
        <is>
          <t>Decimal</t>
        </is>
      </c>
      <c r="G54" t="inlineStr">
        <is>
          <t>Yes</t>
        </is>
      </c>
      <c r="H54" t="inlineStr">
        <is>
          <t>GIR/Jurisdictions/Jurisdiction/StatRate</t>
        </is>
      </c>
      <c r="I54" t="inlineStr">
        <is>
          <t>Reference Data</t>
        </is>
      </c>
      <c r="J54" t="inlineStr">
        <is>
          <t>Group Tax</t>
        </is>
      </c>
      <c r="K54" t="inlineStr">
        <is>
          <t>High</t>
        </is>
      </c>
      <c r="L54" t="inlineStr">
        <is>
          <t>0-100 percentage</t>
        </is>
      </c>
      <c r="M54" t="inlineStr">
        <is>
          <t>Current rate</t>
        </is>
      </c>
      <c r="N54" t="inlineStr">
        <is>
          <t>Not Started</t>
        </is>
      </c>
    </row>
    <row r="55">
      <c r="A55" t="inlineStr">
        <is>
          <t>S2-004</t>
        </is>
      </c>
      <c r="B55" t="inlineStr">
        <is>
          <t>Section 2</t>
        </is>
      </c>
      <c r="C55" t="inlineStr">
        <is>
          <t>2.1 Jurisdiction Chars</t>
        </is>
      </c>
      <c r="D55" t="inlineStr">
        <is>
          <t>QualifiedIIR</t>
        </is>
      </c>
      <c r="E55" t="inlineStr">
        <is>
          <t>Has jurisdiction implemented qualified IIR</t>
        </is>
      </c>
      <c r="F55" t="inlineStr">
        <is>
          <t>Boolean</t>
        </is>
      </c>
      <c r="G55" t="inlineStr">
        <is>
          <t>Yes</t>
        </is>
      </c>
      <c r="H55" t="inlineStr">
        <is>
          <t>GIR/Jurisdictions/Jurisdiction/QIIR</t>
        </is>
      </c>
      <c r="I55" t="inlineStr">
        <is>
          <t>Reference Data</t>
        </is>
      </c>
      <c r="J55" t="inlineStr">
        <is>
          <t>Group Tax</t>
        </is>
      </c>
      <c r="K55" t="inlineStr">
        <is>
          <t>Critical</t>
        </is>
      </c>
      <c r="L55" t="inlineStr">
        <is>
          <t>True/False</t>
        </is>
      </c>
      <c r="M55" t="inlineStr">
        <is>
          <t>Determines priority</t>
        </is>
      </c>
      <c r="N55" t="inlineStr">
        <is>
          <t>Not Started</t>
        </is>
      </c>
    </row>
    <row r="56">
      <c r="A56" t="inlineStr">
        <is>
          <t>S2-005</t>
        </is>
      </c>
      <c r="B56" t="inlineStr">
        <is>
          <t>Section 2</t>
        </is>
      </c>
      <c r="C56" t="inlineStr">
        <is>
          <t>2.1 Jurisdiction Chars</t>
        </is>
      </c>
      <c r="D56" t="inlineStr">
        <is>
          <t>QualifiedUTPR</t>
        </is>
      </c>
      <c r="E56" t="inlineStr">
        <is>
          <t>Has jurisdiction implemented qualified UTPR</t>
        </is>
      </c>
      <c r="F56" t="inlineStr">
        <is>
          <t>Boolean</t>
        </is>
      </c>
      <c r="G56" t="inlineStr">
        <is>
          <t>Yes</t>
        </is>
      </c>
      <c r="H56" t="inlineStr">
        <is>
          <t>GIR/Jurisdictions/Jurisdiction/QUTPR</t>
        </is>
      </c>
      <c r="I56" t="inlineStr">
        <is>
          <t>Reference Data</t>
        </is>
      </c>
      <c r="J56" t="inlineStr">
        <is>
          <t>Group Tax</t>
        </is>
      </c>
      <c r="K56" t="inlineStr">
        <is>
          <t>Critical</t>
        </is>
      </c>
      <c r="L56" t="inlineStr">
        <is>
          <t>True/False</t>
        </is>
      </c>
      <c r="M56" t="inlineStr">
        <is>
          <t>Backstop mechanism</t>
        </is>
      </c>
      <c r="N56" t="inlineStr">
        <is>
          <t>Not Started</t>
        </is>
      </c>
    </row>
    <row r="57">
      <c r="A57" t="inlineStr">
        <is>
          <t>S2-006</t>
        </is>
      </c>
      <c r="B57" t="inlineStr">
        <is>
          <t>Section 2</t>
        </is>
      </c>
      <c r="C57" t="inlineStr">
        <is>
          <t>2.1 Jurisdiction Chars</t>
        </is>
      </c>
      <c r="D57" t="inlineStr">
        <is>
          <t>QualifiedDMTT</t>
        </is>
      </c>
      <c r="E57" t="inlineStr">
        <is>
          <t>Has jurisdiction implemented QDMTT</t>
        </is>
      </c>
      <c r="F57" t="inlineStr">
        <is>
          <t>Boolean</t>
        </is>
      </c>
      <c r="G57" t="inlineStr">
        <is>
          <t>Yes</t>
        </is>
      </c>
      <c r="H57" t="inlineStr">
        <is>
          <t>GIR/Jurisdictions/Jurisdiction/QDMTT</t>
        </is>
      </c>
      <c r="I57" t="inlineStr">
        <is>
          <t>Reference Data</t>
        </is>
      </c>
      <c r="J57" t="inlineStr">
        <is>
          <t>Group Tax</t>
        </is>
      </c>
      <c r="K57" t="inlineStr">
        <is>
          <t>Critical</t>
        </is>
      </c>
      <c r="L57" t="inlineStr">
        <is>
          <t>True/False</t>
        </is>
      </c>
      <c r="M57" t="inlineStr">
        <is>
          <t>Primary top-up</t>
        </is>
      </c>
      <c r="N57" t="inlineStr">
        <is>
          <t>Not Started</t>
        </is>
      </c>
    </row>
    <row r="58">
      <c r="A58" t="inlineStr">
        <is>
          <t>S2-007</t>
        </is>
      </c>
      <c r="B58" t="inlineStr">
        <is>
          <t>Section 2</t>
        </is>
      </c>
      <c r="C58" t="inlineStr">
        <is>
          <t>2.1 Jurisdiction Chars</t>
        </is>
      </c>
      <c r="D58" t="inlineStr">
        <is>
          <t>ImplementationDate</t>
        </is>
      </c>
      <c r="E58" t="inlineStr">
        <is>
          <t>Date GloBE rules effective</t>
        </is>
      </c>
      <c r="F58" t="inlineStr">
        <is>
          <t>Date</t>
        </is>
      </c>
      <c r="G58" t="inlineStr">
        <is>
          <t>Yes</t>
        </is>
      </c>
      <c r="H58" t="inlineStr">
        <is>
          <t>GIR/Jurisdictions/Jurisdiction/EffectiveDate</t>
        </is>
      </c>
      <c r="I58" t="inlineStr">
        <is>
          <t>Reference Data</t>
        </is>
      </c>
      <c r="J58" t="inlineStr">
        <is>
          <t>Group Tax</t>
        </is>
      </c>
      <c r="K58" t="inlineStr">
        <is>
          <t>High</t>
        </is>
      </c>
      <c r="L58" t="inlineStr">
        <is>
          <t>Valid date format</t>
        </is>
      </c>
      <c r="M58" t="inlineStr">
        <is>
          <t>Determines applicability</t>
        </is>
      </c>
      <c r="N58" t="inlineStr">
        <is>
          <t>Not Started</t>
        </is>
      </c>
    </row>
    <row r="59">
      <c r="A59" t="inlineStr">
        <is>
          <t>S2-008</t>
        </is>
      </c>
      <c r="B59" t="inlineStr">
        <is>
          <t>Section 2</t>
        </is>
      </c>
      <c r="C59" t="inlineStr">
        <is>
          <t>2.1 Jurisdiction Chars</t>
        </is>
      </c>
      <c r="D59" t="inlineStr">
        <is>
          <t>CECountInJurisdiction</t>
        </is>
      </c>
      <c r="E59" t="inlineStr">
        <is>
          <t>Number of CEs in jurisdiction</t>
        </is>
      </c>
      <c r="F59" t="inlineStr">
        <is>
          <t>Integer</t>
        </is>
      </c>
      <c r="G59" t="inlineStr">
        <is>
          <t>Yes</t>
        </is>
      </c>
      <c r="H59" t="inlineStr">
        <is>
          <t>GIR/Jurisdictions/Jurisdiction/CECount</t>
        </is>
      </c>
      <c r="I59" t="inlineStr">
        <is>
          <t>Legal Entity Master</t>
        </is>
      </c>
      <c r="J59" t="inlineStr">
        <is>
          <t>Group Tax</t>
        </is>
      </c>
      <c r="K59" t="inlineStr">
        <is>
          <t>High</t>
        </is>
      </c>
      <c r="L59" t="inlineStr">
        <is>
          <t>Positive integer</t>
        </is>
      </c>
      <c r="M59" t="inlineStr">
        <is>
          <t>Per jurisdiction</t>
        </is>
      </c>
      <c r="N59" t="inlineStr">
        <is>
          <t>Not Started</t>
        </is>
      </c>
    </row>
    <row r="60">
      <c r="A60" t="inlineStr">
        <is>
          <t>S2-009</t>
        </is>
      </c>
      <c r="B60" t="inlineStr">
        <is>
          <t>Section 2</t>
        </is>
      </c>
      <c r="C60" t="inlineStr">
        <is>
          <t>2.1 Jurisdiction Chars</t>
        </is>
      </c>
      <c r="D60" t="inlineStr">
        <is>
          <t>MaterialCEPresence</t>
        </is>
      </c>
      <c r="E60" t="inlineStr">
        <is>
          <t>Material presence in jurisdiction</t>
        </is>
      </c>
      <c r="F60" t="inlineStr">
        <is>
          <t>Boolean</t>
        </is>
      </c>
      <c r="G60" t="inlineStr">
        <is>
          <t>Yes</t>
        </is>
      </c>
      <c r="H60" t="inlineStr">
        <is>
          <t>GIR/Jurisdictions/Jurisdiction/Material</t>
        </is>
      </c>
      <c r="I60" t="inlineStr">
        <is>
          <t>GIR Analysis</t>
        </is>
      </c>
      <c r="J60" t="inlineStr">
        <is>
          <t>Group Tax</t>
        </is>
      </c>
      <c r="K60" t="inlineStr">
        <is>
          <t>High</t>
        </is>
      </c>
      <c r="L60" t="inlineStr">
        <is>
          <t>True/False</t>
        </is>
      </c>
      <c r="M60" t="inlineStr">
        <is>
          <t>Affects filing</t>
        </is>
      </c>
      <c r="N60" t="inlineStr">
        <is>
          <t>Not Started</t>
        </is>
      </c>
    </row>
    <row r="61">
      <c r="A61" t="inlineStr">
        <is>
          <t>S2-010</t>
        </is>
      </c>
      <c r="B61" t="inlineStr">
        <is>
          <t>Section 2</t>
        </is>
      </c>
      <c r="C61" t="inlineStr">
        <is>
          <t>2.1 Jurisdiction Chars</t>
        </is>
      </c>
      <c r="D61" t="inlineStr">
        <is>
          <t>TaxTreatyNetwork</t>
        </is>
      </c>
      <c r="E61" t="inlineStr">
        <is>
          <t>Key tax treaty relationships</t>
        </is>
      </c>
      <c r="F61" t="inlineStr">
        <is>
          <t>String</t>
        </is>
      </c>
      <c r="G61" t="inlineStr">
        <is>
          <t>No</t>
        </is>
      </c>
      <c r="H61" t="inlineStr">
        <is>
          <t>GIR/Jurisdictions/Jurisdiction/Treaties</t>
        </is>
      </c>
      <c r="I61" t="inlineStr">
        <is>
          <t>Reference Data</t>
        </is>
      </c>
      <c r="J61" t="inlineStr">
        <is>
          <t>Group Tax</t>
        </is>
      </c>
      <c r="K61" t="inlineStr">
        <is>
          <t>Low</t>
        </is>
      </c>
      <c r="L61" t="inlineStr">
        <is>
          <t>Free text</t>
        </is>
      </c>
      <c r="M61" t="inlineStr">
        <is>
          <t>For planning</t>
        </is>
      </c>
      <c r="N61" t="inlineStr">
        <is>
          <t>Not Started</t>
        </is>
      </c>
    </row>
    <row r="62">
      <c r="A62" t="inlineStr">
        <is>
          <t>S2-011</t>
        </is>
      </c>
      <c r="B62" t="inlineStr">
        <is>
          <t>Section 2</t>
        </is>
      </c>
      <c r="C62" t="inlineStr">
        <is>
          <t>2.2 TCbCR Safe Harbour</t>
        </is>
      </c>
      <c r="D62" t="inlineStr">
        <is>
          <t>TCbCRSHEligible</t>
        </is>
      </c>
      <c r="E62" t="inlineStr">
        <is>
          <t>Eligible for Transitional CbCR Safe Harbour</t>
        </is>
      </c>
      <c r="F62" t="inlineStr">
        <is>
          <t>Boolean</t>
        </is>
      </c>
      <c r="G62" t="inlineStr">
        <is>
          <t>Yes</t>
        </is>
      </c>
      <c r="H62" t="inlineStr">
        <is>
          <t>GIR/SafeHarbours/TCbCR/Eligible</t>
        </is>
      </c>
      <c r="I62" t="inlineStr">
        <is>
          <t>GIR Analysis</t>
        </is>
      </c>
      <c r="J62" t="inlineStr">
        <is>
          <t>Group Tax</t>
        </is>
      </c>
      <c r="K62" t="inlineStr">
        <is>
          <t>Critical</t>
        </is>
      </c>
      <c r="L62" t="inlineStr">
        <is>
          <t>True/False</t>
        </is>
      </c>
      <c r="M62" t="inlineStr">
        <is>
          <t>Per jurisdiction</t>
        </is>
      </c>
      <c r="N62" t="inlineStr">
        <is>
          <t>Not Started</t>
        </is>
      </c>
    </row>
    <row r="63">
      <c r="A63" t="inlineStr">
        <is>
          <t>S2-012</t>
        </is>
      </c>
      <c r="B63" t="inlineStr">
        <is>
          <t>Section 2</t>
        </is>
      </c>
      <c r="C63" t="inlineStr">
        <is>
          <t>2.2 TCbCR Safe Harbour</t>
        </is>
      </c>
      <c r="D63" t="inlineStr">
        <is>
          <t>TCbCRSHElected</t>
        </is>
      </c>
      <c r="E63" t="inlineStr">
        <is>
          <t>Election to apply TCbCR Safe Harbour</t>
        </is>
      </c>
      <c r="F63" t="inlineStr">
        <is>
          <t>Boolean</t>
        </is>
      </c>
      <c r="G63" t="inlineStr">
        <is>
          <t>Conditional</t>
        </is>
      </c>
      <c r="H63" t="inlineStr">
        <is>
          <t>GIR/SafeHarbours/TCbCR/Elected</t>
        </is>
      </c>
      <c r="I63" t="inlineStr">
        <is>
          <t>GIR Configuration</t>
        </is>
      </c>
      <c r="J63" t="inlineStr">
        <is>
          <t>Group Tax</t>
        </is>
      </c>
      <c r="K63" t="inlineStr">
        <is>
          <t>Critical</t>
        </is>
      </c>
      <c r="L63" t="inlineStr">
        <is>
          <t>True/False</t>
        </is>
      </c>
      <c r="M63" t="inlineStr">
        <is>
          <t>If eligible</t>
        </is>
      </c>
      <c r="N63" t="inlineStr">
        <is>
          <t>Not Started</t>
        </is>
      </c>
    </row>
    <row r="64">
      <c r="A64" t="inlineStr">
        <is>
          <t>S2-013</t>
        </is>
      </c>
      <c r="B64" t="inlineStr">
        <is>
          <t>Section 2</t>
        </is>
      </c>
      <c r="C64" t="inlineStr">
        <is>
          <t>2.2 TCbCR Safe Harbour</t>
        </is>
      </c>
      <c r="D64" t="inlineStr">
        <is>
          <t>DeMinimisTestMet</t>
        </is>
      </c>
      <c r="E64" t="inlineStr">
        <is>
          <t>Revenue &lt; EUR 10M and PBT &lt; EUR 1M</t>
        </is>
      </c>
      <c r="F64" t="inlineStr">
        <is>
          <t>Boolean</t>
        </is>
      </c>
      <c r="G64" t="inlineStr">
        <is>
          <t>Conditional</t>
        </is>
      </c>
      <c r="H64" t="inlineStr">
        <is>
          <t>GIR/SafeHarbours/TCbCR/DeMinimis</t>
        </is>
      </c>
      <c r="I64" t="inlineStr">
        <is>
          <t>GIR Calculation</t>
        </is>
      </c>
      <c r="J64" t="inlineStr">
        <is>
          <t>Group Tax</t>
        </is>
      </c>
      <c r="K64" t="inlineStr">
        <is>
          <t>High</t>
        </is>
      </c>
      <c r="L64" t="inlineStr">
        <is>
          <t>True/False</t>
        </is>
      </c>
      <c r="M64" t="inlineStr">
        <is>
          <t>Test 1 of 3</t>
        </is>
      </c>
      <c r="N64" t="inlineStr">
        <is>
          <t>Not Started</t>
        </is>
      </c>
    </row>
    <row r="65">
      <c r="A65" t="inlineStr">
        <is>
          <t>S2-014</t>
        </is>
      </c>
      <c r="B65" t="inlineStr">
        <is>
          <t>Section 2</t>
        </is>
      </c>
      <c r="C65" t="inlineStr">
        <is>
          <t>2.2 TCbCR Safe Harbour</t>
        </is>
      </c>
      <c r="D65" t="inlineStr">
        <is>
          <t>DeMinimisRevenue</t>
        </is>
      </c>
      <c r="E65" t="inlineStr">
        <is>
          <t>CbCR Revenue for jurisdiction</t>
        </is>
      </c>
      <c r="F65" t="inlineStr">
        <is>
          <t>Decimal</t>
        </is>
      </c>
      <c r="G65" t="inlineStr">
        <is>
          <t>Conditional</t>
        </is>
      </c>
      <c r="H65" t="inlineStr">
        <is>
          <t>GIR/SafeHarbours/TCbCR/Revenue</t>
        </is>
      </c>
      <c r="I65" t="inlineStr">
        <is>
          <t>CbCR Data</t>
        </is>
      </c>
      <c r="J65" t="inlineStr">
        <is>
          <t>Group Tax</t>
        </is>
      </c>
      <c r="K65" t="inlineStr">
        <is>
          <t>High</t>
        </is>
      </c>
      <c r="L65" t="inlineStr">
        <is>
          <t>&gt;= 0</t>
        </is>
      </c>
      <c r="M65" t="inlineStr">
        <is>
          <t>From CbCR</t>
        </is>
      </c>
      <c r="N65" t="inlineStr">
        <is>
          <t>Not Started</t>
        </is>
      </c>
    </row>
    <row r="66">
      <c r="A66" t="inlineStr">
        <is>
          <t>S2-015</t>
        </is>
      </c>
      <c r="B66" t="inlineStr">
        <is>
          <t>Section 2</t>
        </is>
      </c>
      <c r="C66" t="inlineStr">
        <is>
          <t>2.2 TCbCR Safe Harbour</t>
        </is>
      </c>
      <c r="D66" t="inlineStr">
        <is>
          <t>DeMinimisProfit</t>
        </is>
      </c>
      <c r="E66" t="inlineStr">
        <is>
          <t>CbCR PBT for jurisdiction</t>
        </is>
      </c>
      <c r="F66" t="inlineStr">
        <is>
          <t>Decimal</t>
        </is>
      </c>
      <c r="G66" t="inlineStr">
        <is>
          <t>Conditional</t>
        </is>
      </c>
      <c r="H66" t="inlineStr">
        <is>
          <t>GIR/SafeHarbours/TCbCR/PBT</t>
        </is>
      </c>
      <c r="I66" t="inlineStr">
        <is>
          <t>CbCR Data</t>
        </is>
      </c>
      <c r="J66" t="inlineStr">
        <is>
          <t>Group Tax</t>
        </is>
      </c>
      <c r="K66" t="inlineStr">
        <is>
          <t>High</t>
        </is>
      </c>
      <c r="L66" t="inlineStr">
        <is>
          <t>Any value</t>
        </is>
      </c>
      <c r="M66" t="inlineStr">
        <is>
          <t>From CbCR</t>
        </is>
      </c>
      <c r="N66" t="inlineStr">
        <is>
          <t>Not Started</t>
        </is>
      </c>
    </row>
    <row r="67">
      <c r="A67" t="inlineStr">
        <is>
          <t>S2-016</t>
        </is>
      </c>
      <c r="B67" t="inlineStr">
        <is>
          <t>Section 2</t>
        </is>
      </c>
      <c r="C67" t="inlineStr">
        <is>
          <t>2.2 TCbCR Safe Harbour</t>
        </is>
      </c>
      <c r="D67" t="inlineStr">
        <is>
          <t>SimplifiedETRTestMet</t>
        </is>
      </c>
      <c r="E67" t="inlineStr">
        <is>
          <t>Simplified ETR &gt;= transition rate</t>
        </is>
      </c>
      <c r="F67" t="inlineStr">
        <is>
          <t>Boolean</t>
        </is>
      </c>
      <c r="G67" t="inlineStr">
        <is>
          <t>Conditional</t>
        </is>
      </c>
      <c r="H67" t="inlineStr">
        <is>
          <t>GIR/SafeHarbours/TCbCR/ETRTest</t>
        </is>
      </c>
      <c r="I67" t="inlineStr">
        <is>
          <t>GIR Calculation</t>
        </is>
      </c>
      <c r="J67" t="inlineStr">
        <is>
          <t>Group Tax</t>
        </is>
      </c>
      <c r="K67" t="inlineStr">
        <is>
          <t>High</t>
        </is>
      </c>
      <c r="L67" t="inlineStr">
        <is>
          <t>True/False</t>
        </is>
      </c>
      <c r="M67" t="inlineStr">
        <is>
          <t>Test 2 of 3</t>
        </is>
      </c>
      <c r="N67" t="inlineStr">
        <is>
          <t>Not Started</t>
        </is>
      </c>
    </row>
    <row r="68">
      <c r="A68" t="inlineStr">
        <is>
          <t>S2-017</t>
        </is>
      </c>
      <c r="B68" t="inlineStr">
        <is>
          <t>Section 2</t>
        </is>
      </c>
      <c r="C68" t="inlineStr">
        <is>
          <t>2.2 TCbCR Safe Harbour</t>
        </is>
      </c>
      <c r="D68" t="inlineStr">
        <is>
          <t>SimplifiedETR</t>
        </is>
      </c>
      <c r="E68" t="inlineStr">
        <is>
          <t>Calculated simplified ETR percentage</t>
        </is>
      </c>
      <c r="F68" t="inlineStr">
        <is>
          <t>Decimal</t>
        </is>
      </c>
      <c r="G68" t="inlineStr">
        <is>
          <t>Conditional</t>
        </is>
      </c>
      <c r="H68" t="inlineStr">
        <is>
          <t>GIR/SafeHarbours/TCbCR/ETR</t>
        </is>
      </c>
      <c r="I68" t="inlineStr">
        <is>
          <t>GIR Calculation</t>
        </is>
      </c>
      <c r="J68" t="inlineStr">
        <is>
          <t>Group Tax</t>
        </is>
      </c>
      <c r="K68" t="inlineStr">
        <is>
          <t>High</t>
        </is>
      </c>
      <c r="L68" t="inlineStr">
        <is>
          <t>0-100 percentage</t>
        </is>
      </c>
      <c r="M68" t="inlineStr">
        <is>
          <t>Tax/PBT ratio</t>
        </is>
      </c>
      <c r="N68" t="inlineStr">
        <is>
          <t>Not Started</t>
        </is>
      </c>
    </row>
    <row r="69">
      <c r="A69" t="inlineStr">
        <is>
          <t>S2-018</t>
        </is>
      </c>
      <c r="B69" t="inlineStr">
        <is>
          <t>Section 2</t>
        </is>
      </c>
      <c r="C69" t="inlineStr">
        <is>
          <t>2.2 TCbCR Safe Harbour</t>
        </is>
      </c>
      <c r="D69" t="inlineStr">
        <is>
          <t>TransitionETRRate</t>
        </is>
      </c>
      <c r="E69" t="inlineStr">
        <is>
          <t>Applicable transition rate for year</t>
        </is>
      </c>
      <c r="F69" t="inlineStr">
        <is>
          <t>Decimal</t>
        </is>
      </c>
      <c r="G69" t="inlineStr">
        <is>
          <t>Yes</t>
        </is>
      </c>
      <c r="H69" t="inlineStr">
        <is>
          <t>GIR/SafeHarbours/TCbCR/TransitionRate</t>
        </is>
      </c>
      <c r="I69" t="inlineStr">
        <is>
          <t>Reference Data</t>
        </is>
      </c>
      <c r="J69" t="inlineStr">
        <is>
          <t>Group Tax</t>
        </is>
      </c>
      <c r="K69" t="inlineStr">
        <is>
          <t>High</t>
        </is>
      </c>
      <c r="L69" t="inlineStr">
        <is>
          <t>15-16 percentage</t>
        </is>
      </c>
      <c r="M69" t="inlineStr">
        <is>
          <t>Year dependent</t>
        </is>
      </c>
      <c r="N69" t="inlineStr">
        <is>
          <t>Not Started</t>
        </is>
      </c>
    </row>
    <row r="70">
      <c r="A70" t="inlineStr">
        <is>
          <t>S2-019</t>
        </is>
      </c>
      <c r="B70" t="inlineStr">
        <is>
          <t>Section 2</t>
        </is>
      </c>
      <c r="C70" t="inlineStr">
        <is>
          <t>2.2 TCbCR Safe Harbour</t>
        </is>
      </c>
      <c r="D70" t="inlineStr">
        <is>
          <t>RoutineProfitsTestMet</t>
        </is>
      </c>
      <c r="E70" t="inlineStr">
        <is>
          <t>PBT &lt;= SBIE amount</t>
        </is>
      </c>
      <c r="F70" t="inlineStr">
        <is>
          <t>Boolean</t>
        </is>
      </c>
      <c r="G70" t="inlineStr">
        <is>
          <t>Conditional</t>
        </is>
      </c>
      <c r="H70" t="inlineStr">
        <is>
          <t>GIR/SafeHarbours/TCbCR/RoutineTest</t>
        </is>
      </c>
      <c r="I70" t="inlineStr">
        <is>
          <t>GIR Calculation</t>
        </is>
      </c>
      <c r="J70" t="inlineStr">
        <is>
          <t>Group Tax</t>
        </is>
      </c>
      <c r="K70" t="inlineStr">
        <is>
          <t>High</t>
        </is>
      </c>
      <c r="L70" t="inlineStr">
        <is>
          <t>True/False</t>
        </is>
      </c>
      <c r="M70" t="inlineStr">
        <is>
          <t>Test 3 of 3</t>
        </is>
      </c>
      <c r="N70" t="inlineStr">
        <is>
          <t>Not Started</t>
        </is>
      </c>
    </row>
    <row r="71">
      <c r="A71" t="inlineStr">
        <is>
          <t>S2-020</t>
        </is>
      </c>
      <c r="B71" t="inlineStr">
        <is>
          <t>Section 2</t>
        </is>
      </c>
      <c r="C71" t="inlineStr">
        <is>
          <t>2.2 TCbCR Safe Harbour</t>
        </is>
      </c>
      <c r="D71" t="inlineStr">
        <is>
          <t>SBIEAmountForTest</t>
        </is>
      </c>
      <c r="E71" t="inlineStr">
        <is>
          <t>SBIE calculation for routine test</t>
        </is>
      </c>
      <c r="F71" t="inlineStr">
        <is>
          <t>Decimal</t>
        </is>
      </c>
      <c r="G71" t="inlineStr">
        <is>
          <t>Conditional</t>
        </is>
      </c>
      <c r="H71" t="inlineStr">
        <is>
          <t>GIR/SafeHarbours/TCbCR/SBIEAmount</t>
        </is>
      </c>
      <c r="I71" t="inlineStr">
        <is>
          <t>GIR Calculation</t>
        </is>
      </c>
      <c r="J71" t="inlineStr">
        <is>
          <t>Group Tax</t>
        </is>
      </c>
      <c r="K71" t="inlineStr">
        <is>
          <t>High</t>
        </is>
      </c>
      <c r="L71" t="inlineStr">
        <is>
          <t>&gt;= 0</t>
        </is>
      </c>
      <c r="M71" t="inlineStr">
        <is>
          <t>Payroll + Tangible</t>
        </is>
      </c>
      <c r="N71" t="inlineStr">
        <is>
          <t>Not Started</t>
        </is>
      </c>
    </row>
    <row r="72">
      <c r="A72" t="inlineStr">
        <is>
          <t>S2-021</t>
        </is>
      </c>
      <c r="B72" t="inlineStr">
        <is>
          <t>Section 2</t>
        </is>
      </c>
      <c r="C72" t="inlineStr">
        <is>
          <t>2.2 TCbCR Safe Harbour</t>
        </is>
      </c>
      <c r="D72" t="inlineStr">
        <is>
          <t>TCbCRQualifyingTest</t>
        </is>
      </c>
      <c r="E72" t="inlineStr">
        <is>
          <t>Which test qualified (1/2/3)</t>
        </is>
      </c>
      <c r="F72" t="inlineStr">
        <is>
          <t>Enumeration</t>
        </is>
      </c>
      <c r="G72" t="inlineStr">
        <is>
          <t>Conditional</t>
        </is>
      </c>
      <c r="H72" t="inlineStr">
        <is>
          <t>GIR/SafeHarbours/TCbCR/QualifyingTest</t>
        </is>
      </c>
      <c r="I72" t="inlineStr">
        <is>
          <t>GIR Calculation</t>
        </is>
      </c>
      <c r="J72" t="inlineStr">
        <is>
          <t>Group Tax</t>
        </is>
      </c>
      <c r="K72" t="inlineStr">
        <is>
          <t>High</t>
        </is>
      </c>
      <c r="L72" t="inlineStr">
        <is>
          <t>DeMinimis/ETR/Routine</t>
        </is>
      </c>
      <c r="M72" t="inlineStr">
        <is>
          <t>Only one needed</t>
        </is>
      </c>
      <c r="N72" t="inlineStr">
        <is>
          <t>Not Started</t>
        </is>
      </c>
    </row>
    <row r="73">
      <c r="A73" t="inlineStr">
        <is>
          <t>S2-022</t>
        </is>
      </c>
      <c r="B73" t="inlineStr">
        <is>
          <t>Section 2</t>
        </is>
      </c>
      <c r="C73" t="inlineStr">
        <is>
          <t>2.3 QDMTT Safe Harbour</t>
        </is>
      </c>
      <c r="D73" t="inlineStr">
        <is>
          <t>QDMTTSHEligible</t>
        </is>
      </c>
      <c r="E73" t="inlineStr">
        <is>
          <t>Eligible for QDMTT Safe Harbour</t>
        </is>
      </c>
      <c r="F73" t="inlineStr">
        <is>
          <t>Boolean</t>
        </is>
      </c>
      <c r="G73" t="inlineStr">
        <is>
          <t>Yes</t>
        </is>
      </c>
      <c r="H73" t="inlineStr">
        <is>
          <t>GIR/SafeHarbours/QDMTT/Eligible</t>
        </is>
      </c>
      <c r="I73" t="inlineStr">
        <is>
          <t>GIR Analysis</t>
        </is>
      </c>
      <c r="J73" t="inlineStr">
        <is>
          <t>Group Tax</t>
        </is>
      </c>
      <c r="K73" t="inlineStr">
        <is>
          <t>Critical</t>
        </is>
      </c>
      <c r="L73" t="inlineStr">
        <is>
          <t>True/False</t>
        </is>
      </c>
      <c r="M73" t="inlineStr">
        <is>
          <t>Per jurisdiction</t>
        </is>
      </c>
      <c r="N73" t="inlineStr">
        <is>
          <t>Not Started</t>
        </is>
      </c>
    </row>
    <row r="74">
      <c r="A74" t="inlineStr">
        <is>
          <t>S2-023</t>
        </is>
      </c>
      <c r="B74" t="inlineStr">
        <is>
          <t>Section 2</t>
        </is>
      </c>
      <c r="C74" t="inlineStr">
        <is>
          <t>2.3 QDMTT Safe Harbour</t>
        </is>
      </c>
      <c r="D74" t="inlineStr">
        <is>
          <t>QDMTTSHElected</t>
        </is>
      </c>
      <c r="E74" t="inlineStr">
        <is>
          <t>Election to apply QDMTT Safe Harbour</t>
        </is>
      </c>
      <c r="F74" t="inlineStr">
        <is>
          <t>Boolean</t>
        </is>
      </c>
      <c r="G74" t="inlineStr">
        <is>
          <t>Conditional</t>
        </is>
      </c>
      <c r="H74" t="inlineStr">
        <is>
          <t>GIR/SafeHarbours/QDMTT/Elected</t>
        </is>
      </c>
      <c r="I74" t="inlineStr">
        <is>
          <t>GIR Configuration</t>
        </is>
      </c>
      <c r="J74" t="inlineStr">
        <is>
          <t>Group Tax</t>
        </is>
      </c>
      <c r="K74" t="inlineStr">
        <is>
          <t>Critical</t>
        </is>
      </c>
      <c r="L74" t="inlineStr">
        <is>
          <t>True/False</t>
        </is>
      </c>
      <c r="M74" t="inlineStr">
        <is>
          <t>If eligible</t>
        </is>
      </c>
      <c r="N74" t="inlineStr">
        <is>
          <t>Not Started</t>
        </is>
      </c>
    </row>
    <row r="75">
      <c r="A75" t="inlineStr">
        <is>
          <t>S2-024</t>
        </is>
      </c>
      <c r="B75" t="inlineStr">
        <is>
          <t>Section 2</t>
        </is>
      </c>
      <c r="C75" t="inlineStr">
        <is>
          <t>2.3 QDMTT Safe Harbour</t>
        </is>
      </c>
      <c r="D75" t="inlineStr">
        <is>
          <t>QDMTTAccountingStandard</t>
        </is>
      </c>
      <c r="E75" t="inlineStr">
        <is>
          <t>Accounting standard for QDMTT</t>
        </is>
      </c>
      <c r="F75" t="inlineStr">
        <is>
          <t>Enumeration</t>
        </is>
      </c>
      <c r="G75" t="inlineStr">
        <is>
          <t>Conditional</t>
        </is>
      </c>
      <c r="H75" t="inlineStr">
        <is>
          <t>GIR/SafeHarbours/QDMTT/AcctStd</t>
        </is>
      </c>
      <c r="I75" t="inlineStr">
        <is>
          <t>Reference Data</t>
        </is>
      </c>
      <c r="J75" t="inlineStr">
        <is>
          <t>Group Tax</t>
        </is>
      </c>
      <c r="K75" t="inlineStr">
        <is>
          <t>High</t>
        </is>
      </c>
      <c r="L75" t="inlineStr">
        <is>
          <t>GloBE consistent</t>
        </is>
      </c>
      <c r="M75" t="inlineStr">
        <is>
          <t>Consistency required</t>
        </is>
      </c>
      <c r="N75" t="inlineStr">
        <is>
          <t>Not Started</t>
        </is>
      </c>
    </row>
    <row r="76">
      <c r="A76" t="inlineStr">
        <is>
          <t>S2-025</t>
        </is>
      </c>
      <c r="B76" t="inlineStr">
        <is>
          <t>Section 2</t>
        </is>
      </c>
      <c r="C76" t="inlineStr">
        <is>
          <t>2.3 QDMTT Safe Harbour</t>
        </is>
      </c>
      <c r="D76" t="inlineStr">
        <is>
          <t>QDMTTConsistency</t>
        </is>
      </c>
      <c r="E76" t="inlineStr">
        <is>
          <t>QDMTT consistent with GloBE rules</t>
        </is>
      </c>
      <c r="F76" t="inlineStr">
        <is>
          <t>Boolean</t>
        </is>
      </c>
      <c r="G76" t="inlineStr">
        <is>
          <t>Conditional</t>
        </is>
      </c>
      <c r="H76" t="inlineStr">
        <is>
          <t>GIR/SafeHarbours/QDMTT/Consistent</t>
        </is>
      </c>
      <c r="I76" t="inlineStr">
        <is>
          <t>GIR Analysis</t>
        </is>
      </c>
      <c r="J76" t="inlineStr">
        <is>
          <t>Group Tax</t>
        </is>
      </c>
      <c r="K76" t="inlineStr">
        <is>
          <t>Critical</t>
        </is>
      </c>
      <c r="L76" t="inlineStr">
        <is>
          <t>True/False</t>
        </is>
      </c>
      <c r="M76" t="inlineStr">
        <is>
          <t>Must be True</t>
        </is>
      </c>
      <c r="N76" t="inlineStr">
        <is>
          <t>Not Started</t>
        </is>
      </c>
    </row>
    <row r="77">
      <c r="A77" t="inlineStr">
        <is>
          <t>S2-026</t>
        </is>
      </c>
      <c r="B77" t="inlineStr">
        <is>
          <t>Section 2</t>
        </is>
      </c>
      <c r="C77" t="inlineStr">
        <is>
          <t>2.3 QDMTT Safe Harbour</t>
        </is>
      </c>
      <c r="D77" t="inlineStr">
        <is>
          <t>QDMTTCreditMechanism</t>
        </is>
      </c>
      <c r="E77" t="inlineStr">
        <is>
          <t>Credit mechanism available</t>
        </is>
      </c>
      <c r="F77" t="inlineStr">
        <is>
          <t>Boolean</t>
        </is>
      </c>
      <c r="G77" t="inlineStr">
        <is>
          <t>Conditional</t>
        </is>
      </c>
      <c r="H77" t="inlineStr">
        <is>
          <t>GIR/SafeHarbours/QDMTT/CreditMech</t>
        </is>
      </c>
      <c r="I77" t="inlineStr">
        <is>
          <t>Reference Data</t>
        </is>
      </c>
      <c r="J77" t="inlineStr">
        <is>
          <t>Group Tax</t>
        </is>
      </c>
      <c r="K77" t="inlineStr">
        <is>
          <t>High</t>
        </is>
      </c>
      <c r="L77" t="inlineStr">
        <is>
          <t>True/False</t>
        </is>
      </c>
      <c r="M77" t="inlineStr">
        <is>
          <t>Reduces IIR/UTPR</t>
        </is>
      </c>
      <c r="N77" t="inlineStr">
        <is>
          <t>Not Started</t>
        </is>
      </c>
    </row>
    <row r="78">
      <c r="A78" t="inlineStr">
        <is>
          <t>S2-027</t>
        </is>
      </c>
      <c r="B78" t="inlineStr">
        <is>
          <t>Section 2</t>
        </is>
      </c>
      <c r="C78" t="inlineStr">
        <is>
          <t>2.3 QDMTT Safe Harbour</t>
        </is>
      </c>
      <c r="D78" t="inlineStr">
        <is>
          <t>QDMTTAmountPaid</t>
        </is>
      </c>
      <c r="E78" t="inlineStr">
        <is>
          <t>QDMTT amount paid in jurisdiction</t>
        </is>
      </c>
      <c r="F78" t="inlineStr">
        <is>
          <t>Decimal</t>
        </is>
      </c>
      <c r="G78" t="inlineStr">
        <is>
          <t>Conditional</t>
        </is>
      </c>
      <c r="H78" t="inlineStr">
        <is>
          <t>GIR/SafeHarbours/QDMTT/AmountPaid</t>
        </is>
      </c>
      <c r="I78" t="inlineStr">
        <is>
          <t>Tax Provision</t>
        </is>
      </c>
      <c r="J78" t="inlineStr">
        <is>
          <t>Local Tax</t>
        </is>
      </c>
      <c r="K78" t="inlineStr">
        <is>
          <t>Critical</t>
        </is>
      </c>
      <c r="L78" t="inlineStr">
        <is>
          <t>&gt;= 0</t>
        </is>
      </c>
      <c r="M78" t="inlineStr">
        <is>
          <t>For credit</t>
        </is>
      </c>
      <c r="N78" t="inlineStr">
        <is>
          <t>Not Started</t>
        </is>
      </c>
    </row>
    <row r="79">
      <c r="A79" t="inlineStr">
        <is>
          <t>S2-028</t>
        </is>
      </c>
      <c r="B79" t="inlineStr">
        <is>
          <t>Section 2</t>
        </is>
      </c>
      <c r="C79" t="inlineStr">
        <is>
          <t>2.4 UTPR Safe Harbour</t>
        </is>
      </c>
      <c r="D79" t="inlineStr">
        <is>
          <t>UTPRSHEligible</t>
        </is>
      </c>
      <c r="E79" t="inlineStr">
        <is>
          <t>Eligible for UTPR Safe Harbour</t>
        </is>
      </c>
      <c r="F79" t="inlineStr">
        <is>
          <t>Boolean</t>
        </is>
      </c>
      <c r="G79" t="inlineStr">
        <is>
          <t>Yes</t>
        </is>
      </c>
      <c r="H79" t="inlineStr">
        <is>
          <t>GIR/SafeHarbours/UTPR/Eligible</t>
        </is>
      </c>
      <c r="I79" t="inlineStr">
        <is>
          <t>GIR Analysis</t>
        </is>
      </c>
      <c r="J79" t="inlineStr">
        <is>
          <t>Group Tax</t>
        </is>
      </c>
      <c r="K79" t="inlineStr">
        <is>
          <t>High</t>
        </is>
      </c>
      <c r="L79" t="inlineStr">
        <is>
          <t>True/False</t>
        </is>
      </c>
      <c r="M79" t="inlineStr">
        <is>
          <t>Transitional only</t>
        </is>
      </c>
      <c r="N79" t="inlineStr">
        <is>
          <t>Not Started</t>
        </is>
      </c>
    </row>
    <row r="80">
      <c r="A80" t="inlineStr">
        <is>
          <t>S2-029</t>
        </is>
      </c>
      <c r="B80" t="inlineStr">
        <is>
          <t>Section 2</t>
        </is>
      </c>
      <c r="C80" t="inlineStr">
        <is>
          <t>2.4 UTPR Safe Harbour</t>
        </is>
      </c>
      <c r="D80" t="inlineStr">
        <is>
          <t>UTPRSHElected</t>
        </is>
      </c>
      <c r="E80" t="inlineStr">
        <is>
          <t>Election to apply UTPR Safe Harbour</t>
        </is>
      </c>
      <c r="F80" t="inlineStr">
        <is>
          <t>Boolean</t>
        </is>
      </c>
      <c r="G80" t="inlineStr">
        <is>
          <t>Conditional</t>
        </is>
      </c>
      <c r="H80" t="inlineStr">
        <is>
          <t>GIR/SafeHarbours/UTPR/Elected</t>
        </is>
      </c>
      <c r="I80" t="inlineStr">
        <is>
          <t>GIR Configuration</t>
        </is>
      </c>
      <c r="J80" t="inlineStr">
        <is>
          <t>Group Tax</t>
        </is>
      </c>
      <c r="K80" t="inlineStr">
        <is>
          <t>High</t>
        </is>
      </c>
      <c r="L80" t="inlineStr">
        <is>
          <t>True/False</t>
        </is>
      </c>
      <c r="M80" t="inlineStr">
        <is>
          <t>If eligible</t>
        </is>
      </c>
      <c r="N80" t="inlineStr">
        <is>
          <t>Not Started</t>
        </is>
      </c>
    </row>
    <row r="81">
      <c r="A81" t="inlineStr">
        <is>
          <t>S2-030</t>
        </is>
      </c>
      <c r="B81" t="inlineStr">
        <is>
          <t>Section 2</t>
        </is>
      </c>
      <c r="C81" t="inlineStr">
        <is>
          <t>2.4 UTPR Safe Harbour</t>
        </is>
      </c>
      <c r="D81" t="inlineStr">
        <is>
          <t>UPEJurisdictionRate</t>
        </is>
      </c>
      <c r="E81" t="inlineStr">
        <is>
          <t>Statutory rate in UPE jurisdiction</t>
        </is>
      </c>
      <c r="F81" t="inlineStr">
        <is>
          <t>Decimal</t>
        </is>
      </c>
      <c r="G81" t="inlineStr">
        <is>
          <t>Conditional</t>
        </is>
      </c>
      <c r="H81" t="inlineStr">
        <is>
          <t>GIR/SafeHarbours/UTPR/UPERate</t>
        </is>
      </c>
      <c r="I81" t="inlineStr">
        <is>
          <t>Reference Data</t>
        </is>
      </c>
      <c r="J81" t="inlineStr">
        <is>
          <t>Group Tax</t>
        </is>
      </c>
      <c r="K81" t="inlineStr">
        <is>
          <t>High</t>
        </is>
      </c>
      <c r="L81" t="inlineStr">
        <is>
          <t>0-100 percentage</t>
        </is>
      </c>
      <c r="M81" t="inlineStr">
        <is>
          <t>Must be &gt;= 20%</t>
        </is>
      </c>
      <c r="N81" t="inlineStr">
        <is>
          <t>Not Started</t>
        </is>
      </c>
    </row>
    <row r="82">
      <c r="A82" t="inlineStr">
        <is>
          <t>S2-031</t>
        </is>
      </c>
      <c r="B82" t="inlineStr">
        <is>
          <t>Section 2</t>
        </is>
      </c>
      <c r="C82" t="inlineStr">
        <is>
          <t>2.5 Exclusions</t>
        </is>
      </c>
      <c r="D82" t="inlineStr">
        <is>
          <t>ExcludedEntitiesInJuris</t>
        </is>
      </c>
      <c r="E82" t="inlineStr">
        <is>
          <t>List of excluded entities per jurisdiction</t>
        </is>
      </c>
      <c r="F82" t="inlineStr">
        <is>
          <t>String</t>
        </is>
      </c>
      <c r="G82" t="inlineStr">
        <is>
          <t>No</t>
        </is>
      </c>
      <c r="H82" t="inlineStr">
        <is>
          <t>GIR/Exclusions/ExcludedEntities</t>
        </is>
      </c>
      <c r="I82" t="inlineStr">
        <is>
          <t>Legal Entity Master</t>
        </is>
      </c>
      <c r="J82" t="inlineStr">
        <is>
          <t>Group Tax</t>
        </is>
      </c>
      <c r="K82" t="inlineStr">
        <is>
          <t>Medium</t>
        </is>
      </c>
      <c r="L82" t="inlineStr">
        <is>
          <t>Entity names</t>
        </is>
      </c>
      <c r="M82" t="inlineStr">
        <is>
          <t>Comma separated</t>
        </is>
      </c>
      <c r="N82" t="inlineStr">
        <is>
          <t>Not Started</t>
        </is>
      </c>
    </row>
    <row r="83">
      <c r="A83" t="inlineStr">
        <is>
          <t>S2-032</t>
        </is>
      </c>
      <c r="B83" t="inlineStr">
        <is>
          <t>Section 2</t>
        </is>
      </c>
      <c r="C83" t="inlineStr">
        <is>
          <t>2.5 Exclusions</t>
        </is>
      </c>
      <c r="D83" t="inlineStr">
        <is>
          <t>GovernmentEntityExclusion</t>
        </is>
      </c>
      <c r="E83" t="inlineStr">
        <is>
          <t>Government entity exclusion applied</t>
        </is>
      </c>
      <c r="F83" t="inlineStr">
        <is>
          <t>Boolean</t>
        </is>
      </c>
      <c r="G83" t="inlineStr">
        <is>
          <t>No</t>
        </is>
      </c>
      <c r="H83" t="inlineStr">
        <is>
          <t>GIR/Exclusions/GovernmentEntity</t>
        </is>
      </c>
      <c r="I83" t="inlineStr">
        <is>
          <t>Legal Entity Master</t>
        </is>
      </c>
      <c r="J83" t="inlineStr">
        <is>
          <t>Group Tax</t>
        </is>
      </c>
      <c r="K83" t="inlineStr">
        <is>
          <t>Medium</t>
        </is>
      </c>
      <c r="L83" t="inlineStr">
        <is>
          <t>True/False</t>
        </is>
      </c>
      <c r="M83" t="inlineStr">
        <is>
          <t>Article 1.5.1</t>
        </is>
      </c>
      <c r="N83" t="inlineStr">
        <is>
          <t>Not Started</t>
        </is>
      </c>
    </row>
    <row r="84">
      <c r="A84" t="inlineStr">
        <is>
          <t>S2-033</t>
        </is>
      </c>
      <c r="B84" t="inlineStr">
        <is>
          <t>Section 2</t>
        </is>
      </c>
      <c r="C84" t="inlineStr">
        <is>
          <t>2.5 Exclusions</t>
        </is>
      </c>
      <c r="D84" t="inlineStr">
        <is>
          <t>InternationalOrgExclusion</t>
        </is>
      </c>
      <c r="E84" t="inlineStr">
        <is>
          <t>International org exclusion applied</t>
        </is>
      </c>
      <c r="F84" t="inlineStr">
        <is>
          <t>Boolean</t>
        </is>
      </c>
      <c r="G84" t="inlineStr">
        <is>
          <t>No</t>
        </is>
      </c>
      <c r="H84" t="inlineStr">
        <is>
          <t>GIR/Exclusions/IntlOrg</t>
        </is>
      </c>
      <c r="I84" t="inlineStr">
        <is>
          <t>Legal Entity Master</t>
        </is>
      </c>
      <c r="J84" t="inlineStr">
        <is>
          <t>Group Tax</t>
        </is>
      </c>
      <c r="K84" t="inlineStr">
        <is>
          <t>Medium</t>
        </is>
      </c>
      <c r="L84" t="inlineStr">
        <is>
          <t>True/False</t>
        </is>
      </c>
      <c r="M84" t="inlineStr">
        <is>
          <t>Article 1.5.2</t>
        </is>
      </c>
      <c r="N84" t="inlineStr">
        <is>
          <t>Not Started</t>
        </is>
      </c>
    </row>
    <row r="85">
      <c r="A85" t="inlineStr">
        <is>
          <t>S2-034</t>
        </is>
      </c>
      <c r="B85" t="inlineStr">
        <is>
          <t>Section 2</t>
        </is>
      </c>
      <c r="C85" t="inlineStr">
        <is>
          <t>2.5 Exclusions</t>
        </is>
      </c>
      <c r="D85" t="inlineStr">
        <is>
          <t>NonProfitExclusion</t>
        </is>
      </c>
      <c r="E85" t="inlineStr">
        <is>
          <t>Non-profit exclusion applied</t>
        </is>
      </c>
      <c r="F85" t="inlineStr">
        <is>
          <t>Boolean</t>
        </is>
      </c>
      <c r="G85" t="inlineStr">
        <is>
          <t>No</t>
        </is>
      </c>
      <c r="H85" t="inlineStr">
        <is>
          <t>GIR/Exclusions/NonProfit</t>
        </is>
      </c>
      <c r="I85" t="inlineStr">
        <is>
          <t>Legal Entity Master</t>
        </is>
      </c>
      <c r="J85" t="inlineStr">
        <is>
          <t>Group Tax</t>
        </is>
      </c>
      <c r="K85" t="inlineStr">
        <is>
          <t>Medium</t>
        </is>
      </c>
      <c r="L85" t="inlineStr">
        <is>
          <t>True/False</t>
        </is>
      </c>
      <c r="M85" t="inlineStr">
        <is>
          <t>Article 1.5.3</t>
        </is>
      </c>
      <c r="N85" t="inlineStr">
        <is>
          <t>Not Started</t>
        </is>
      </c>
    </row>
    <row r="86">
      <c r="A86" t="inlineStr">
        <is>
          <t>S2-035</t>
        </is>
      </c>
      <c r="B86" t="inlineStr">
        <is>
          <t>Section 2</t>
        </is>
      </c>
      <c r="C86" t="inlineStr">
        <is>
          <t>2.5 Exclusions</t>
        </is>
      </c>
      <c r="D86" t="inlineStr">
        <is>
          <t>PensionFundExclusion</t>
        </is>
      </c>
      <c r="E86" t="inlineStr">
        <is>
          <t>Pension fund exclusion applied</t>
        </is>
      </c>
      <c r="F86" t="inlineStr">
        <is>
          <t>Boolean</t>
        </is>
      </c>
      <c r="G86" t="inlineStr">
        <is>
          <t>No</t>
        </is>
      </c>
      <c r="H86" t="inlineStr">
        <is>
          <t>GIR/Exclusions/PensionFund</t>
        </is>
      </c>
      <c r="I86" t="inlineStr">
        <is>
          <t>Legal Entity Master</t>
        </is>
      </c>
      <c r="J86" t="inlineStr">
        <is>
          <t>Group Tax</t>
        </is>
      </c>
      <c r="K86" t="inlineStr">
        <is>
          <t>Medium</t>
        </is>
      </c>
      <c r="L86" t="inlineStr">
        <is>
          <t>True/False</t>
        </is>
      </c>
      <c r="M86" t="inlineStr">
        <is>
          <t>Article 1.5.4</t>
        </is>
      </c>
      <c r="N86" t="inlineStr">
        <is>
          <t>Not Started</t>
        </is>
      </c>
    </row>
    <row r="87">
      <c r="A87" t="inlineStr">
        <is>
          <t>S2-036</t>
        </is>
      </c>
      <c r="B87" t="inlineStr">
        <is>
          <t>Section 2</t>
        </is>
      </c>
      <c r="C87" t="inlineStr">
        <is>
          <t>2.5 Exclusions</t>
        </is>
      </c>
      <c r="D87" t="inlineStr">
        <is>
          <t>InvestmentFundExclusion</t>
        </is>
      </c>
      <c r="E87" t="inlineStr">
        <is>
          <t>Investment fund exclusion applied</t>
        </is>
      </c>
      <c r="F87" t="inlineStr">
        <is>
          <t>Boolean</t>
        </is>
      </c>
      <c r="G87" t="inlineStr">
        <is>
          <t>No</t>
        </is>
      </c>
      <c r="H87" t="inlineStr">
        <is>
          <t>GIR/Exclusions/InvestmentFund</t>
        </is>
      </c>
      <c r="I87" t="inlineStr">
        <is>
          <t>Legal Entity Master</t>
        </is>
      </c>
      <c r="J87" t="inlineStr">
        <is>
          <t>Group Tax</t>
        </is>
      </c>
      <c r="K87" t="inlineStr">
        <is>
          <t>Medium</t>
        </is>
      </c>
      <c r="L87" t="inlineStr">
        <is>
          <t>True/False</t>
        </is>
      </c>
      <c r="M87" t="inlineStr">
        <is>
          <t>Article 1.5.5</t>
        </is>
      </c>
      <c r="N87" t="inlineStr">
        <is>
          <t>Not Started</t>
        </is>
      </c>
    </row>
    <row r="88">
      <c r="A88" t="inlineStr">
        <is>
          <t>S2-037</t>
        </is>
      </c>
      <c r="B88" t="inlineStr">
        <is>
          <t>Section 2</t>
        </is>
      </c>
      <c r="C88" t="inlineStr">
        <is>
          <t>2.5 Exclusions</t>
        </is>
      </c>
      <c r="D88" t="inlineStr">
        <is>
          <t>RealEstateVehicleExclusion</t>
        </is>
      </c>
      <c r="E88" t="inlineStr">
        <is>
          <t>REIT exclusion applied</t>
        </is>
      </c>
      <c r="F88" t="inlineStr">
        <is>
          <t>Boolean</t>
        </is>
      </c>
      <c r="G88" t="inlineStr">
        <is>
          <t>No</t>
        </is>
      </c>
      <c r="H88" t="inlineStr">
        <is>
          <t>GIR/Exclusions/REIV</t>
        </is>
      </c>
      <c r="I88" t="inlineStr">
        <is>
          <t>Legal Entity Master</t>
        </is>
      </c>
      <c r="J88" t="inlineStr">
        <is>
          <t>Group Tax</t>
        </is>
      </c>
      <c r="K88" t="inlineStr">
        <is>
          <t>Medium</t>
        </is>
      </c>
      <c r="L88" t="inlineStr">
        <is>
          <t>True/False</t>
        </is>
      </c>
      <c r="M88" t="inlineStr">
        <is>
          <t>Article 1.5.6</t>
        </is>
      </c>
      <c r="N88" t="inlineStr">
        <is>
          <t>Not Started</t>
        </is>
      </c>
    </row>
    <row r="89">
      <c r="A89" t="inlineStr">
        <is>
          <t>S2-038</t>
        </is>
      </c>
      <c r="B89" t="inlineStr">
        <is>
          <t>Section 2</t>
        </is>
      </c>
      <c r="C89" t="inlineStr">
        <is>
          <t>2.5 Exclusions</t>
        </is>
      </c>
      <c r="D89" t="inlineStr">
        <is>
          <t>ExclusionDocumentation</t>
        </is>
      </c>
      <c r="E89" t="inlineStr">
        <is>
          <t>Documentation for exclusions</t>
        </is>
      </c>
      <c r="F89" t="inlineStr">
        <is>
          <t>String</t>
        </is>
      </c>
      <c r="G89" t="inlineStr">
        <is>
          <t>Conditional</t>
        </is>
      </c>
      <c r="H89" t="inlineStr">
        <is>
          <t>GIR/Exclusions/Documentation</t>
        </is>
      </c>
      <c r="I89" t="inlineStr">
        <is>
          <t>Document Management</t>
        </is>
      </c>
      <c r="J89" t="inlineStr">
        <is>
          <t>Group Tax</t>
        </is>
      </c>
      <c r="K89" t="inlineStr">
        <is>
          <t>High</t>
        </is>
      </c>
      <c r="L89" t="inlineStr">
        <is>
          <t>File reference</t>
        </is>
      </c>
      <c r="M89" t="inlineStr">
        <is>
          <t>Audit support</t>
        </is>
      </c>
      <c r="N89" t="inlineStr">
        <is>
          <t>Not Started</t>
        </is>
      </c>
    </row>
    <row r="90">
      <c r="A90" t="inlineStr">
        <is>
          <t>S2-039</t>
        </is>
      </c>
      <c r="B90" t="inlineStr">
        <is>
          <t>Section 2</t>
        </is>
      </c>
      <c r="C90" t="inlineStr">
        <is>
          <t>2.5 Exclusions</t>
        </is>
      </c>
      <c r="D90" t="inlineStr">
        <is>
          <t>MinorityOwnedCEExclusion</t>
        </is>
      </c>
      <c r="E90" t="inlineStr">
        <is>
          <t>Minority-owned CE exclusion</t>
        </is>
      </c>
      <c r="F90" t="inlineStr">
        <is>
          <t>Boolean</t>
        </is>
      </c>
      <c r="G90" t="inlineStr">
        <is>
          <t>No</t>
        </is>
      </c>
      <c r="H90" t="inlineStr">
        <is>
          <t>GIR/Exclusions/MinorityOwned</t>
        </is>
      </c>
      <c r="I90" t="inlineStr">
        <is>
          <t>Legal Entity Master</t>
        </is>
      </c>
      <c r="J90" t="inlineStr">
        <is>
          <t>Group Tax</t>
        </is>
      </c>
      <c r="K90" t="inlineStr">
        <is>
          <t>Medium</t>
        </is>
      </c>
      <c r="L90" t="inlineStr">
        <is>
          <t>True/False</t>
        </is>
      </c>
      <c r="M90" t="inlineStr">
        <is>
          <t>&lt; 30% ownership</t>
        </is>
      </c>
      <c r="N90" t="inlineStr">
        <is>
          <t>Not Started</t>
        </is>
      </c>
    </row>
    <row r="91">
      <c r="A91" t="inlineStr">
        <is>
          <t>S2-040</t>
        </is>
      </c>
      <c r="B91" t="inlineStr">
        <is>
          <t>Section 2</t>
        </is>
      </c>
      <c r="C91" t="inlineStr">
        <is>
          <t>2.5 Exclusions</t>
        </is>
      </c>
      <c r="D91" t="inlineStr">
        <is>
          <t>DeMinimisExclusion</t>
        </is>
      </c>
      <c r="E91" t="inlineStr">
        <is>
          <t>De minimis exclusion for jurisdiction</t>
        </is>
      </c>
      <c r="F91" t="inlineStr">
        <is>
          <t>Boolean</t>
        </is>
      </c>
      <c r="G91" t="inlineStr">
        <is>
          <t>No</t>
        </is>
      </c>
      <c r="H91" t="inlineStr">
        <is>
          <t>GIR/Exclusions/DeMinimis</t>
        </is>
      </c>
      <c r="I91" t="inlineStr">
        <is>
          <t>GIR Calculation</t>
        </is>
      </c>
      <c r="J91" t="inlineStr">
        <is>
          <t>Group Tax</t>
        </is>
      </c>
      <c r="K91" t="inlineStr">
        <is>
          <t>Medium</t>
        </is>
      </c>
      <c r="L91" t="inlineStr">
        <is>
          <t>True/False</t>
        </is>
      </c>
      <c r="M91" t="inlineStr">
        <is>
          <t>Rev &lt; 10M and PBT &lt; 1M</t>
        </is>
      </c>
      <c r="N91" t="inlineStr">
        <is>
          <t>Not Started</t>
        </is>
      </c>
    </row>
    <row r="92">
      <c r="A92" t="inlineStr">
        <is>
          <t>S3-001</t>
        </is>
      </c>
      <c r="B92" t="inlineStr">
        <is>
          <t>Section 3</t>
        </is>
      </c>
      <c r="C92" t="inlineStr">
        <is>
          <t>3.1 GloBE Income</t>
        </is>
      </c>
      <c r="D92" t="inlineStr">
        <is>
          <t>FinancialAccountingNetIncome</t>
        </is>
      </c>
      <c r="E92" t="inlineStr">
        <is>
          <t>Net income per financial accounts</t>
        </is>
      </c>
      <c r="F92" t="inlineStr">
        <is>
          <t>Decimal</t>
        </is>
      </c>
      <c r="G92" t="inlineStr">
        <is>
          <t>Yes</t>
        </is>
      </c>
      <c r="H92" t="inlineStr">
        <is>
          <t>GIR/GloBEComputation/GloBEIncome/FANI</t>
        </is>
      </c>
      <c r="I92" t="inlineStr">
        <is>
          <t>Financial System</t>
        </is>
      </c>
      <c r="J92" t="inlineStr">
        <is>
          <t>Local Finance</t>
        </is>
      </c>
      <c r="K92" t="inlineStr">
        <is>
          <t>Critical</t>
        </is>
      </c>
      <c r="L92" t="inlineStr">
        <is>
          <t>Any value</t>
        </is>
      </c>
      <c r="M92" t="inlineStr">
        <is>
          <t>Starting point</t>
        </is>
      </c>
      <c r="N92" t="inlineStr">
        <is>
          <t>Not Started</t>
        </is>
      </c>
    </row>
    <row r="93">
      <c r="A93" t="inlineStr">
        <is>
          <t>S3-002</t>
        </is>
      </c>
      <c r="B93" t="inlineStr">
        <is>
          <t>Section 3</t>
        </is>
      </c>
      <c r="C93" t="inlineStr">
        <is>
          <t>3.1 GloBE Income</t>
        </is>
      </c>
      <c r="D93" t="inlineStr">
        <is>
          <t>NetTaxExpense</t>
        </is>
      </c>
      <c r="E93" t="inlineStr">
        <is>
          <t>Income tax expense per accounts</t>
        </is>
      </c>
      <c r="F93" t="inlineStr">
        <is>
          <t>Decimal</t>
        </is>
      </c>
      <c r="G93" t="inlineStr">
        <is>
          <t>Yes</t>
        </is>
      </c>
      <c r="H93" t="inlineStr">
        <is>
          <t>GIR/GloBEComputation/GloBEIncome/TaxExpense</t>
        </is>
      </c>
      <c r="I93" t="inlineStr">
        <is>
          <t>Financial System</t>
        </is>
      </c>
      <c r="J93" t="inlineStr">
        <is>
          <t>Local Finance</t>
        </is>
      </c>
      <c r="K93" t="inlineStr">
        <is>
          <t>Critical</t>
        </is>
      </c>
      <c r="L93" t="inlineStr">
        <is>
          <t>Any value</t>
        </is>
      </c>
      <c r="M93" t="inlineStr">
        <is>
          <t>Current + Deferred</t>
        </is>
      </c>
      <c r="N93" t="inlineStr">
        <is>
          <t>Not Started</t>
        </is>
      </c>
    </row>
    <row r="94">
      <c r="A94" t="inlineStr">
        <is>
          <t>S3-003</t>
        </is>
      </c>
      <c r="B94" t="inlineStr">
        <is>
          <t>Section 3</t>
        </is>
      </c>
      <c r="C94" t="inlineStr">
        <is>
          <t>3.1 GloBE Income</t>
        </is>
      </c>
      <c r="D94" t="inlineStr">
        <is>
          <t>ExcludedDividends</t>
        </is>
      </c>
      <c r="E94" t="inlineStr">
        <is>
          <t>Dividends to be excluded</t>
        </is>
      </c>
      <c r="F94" t="inlineStr">
        <is>
          <t>Decimal</t>
        </is>
      </c>
      <c r="G94" t="inlineStr">
        <is>
          <t>Yes</t>
        </is>
      </c>
      <c r="H94" t="inlineStr">
        <is>
          <t>GIR/GloBEComputation/GloBEIncome/ExclDividends</t>
        </is>
      </c>
      <c r="I94" t="inlineStr">
        <is>
          <t>Financial System</t>
        </is>
      </c>
      <c r="J94" t="inlineStr">
        <is>
          <t>Local Finance</t>
        </is>
      </c>
      <c r="K94" t="inlineStr">
        <is>
          <t>High</t>
        </is>
      </c>
      <c r="L94" t="inlineStr">
        <is>
          <t>&gt;= 0</t>
        </is>
      </c>
      <c r="M94" t="inlineStr">
        <is>
          <t>Article 3.2.1(a)</t>
        </is>
      </c>
      <c r="N94" t="inlineStr">
        <is>
          <t>Not Started</t>
        </is>
      </c>
    </row>
    <row r="95">
      <c r="A95" t="inlineStr">
        <is>
          <t>S3-004</t>
        </is>
      </c>
      <c r="B95" t="inlineStr">
        <is>
          <t>Section 3</t>
        </is>
      </c>
      <c r="C95" t="inlineStr">
        <is>
          <t>3.1 GloBE Income</t>
        </is>
      </c>
      <c r="D95" t="inlineStr">
        <is>
          <t>ExcludedEquityGainsLosses</t>
        </is>
      </c>
      <c r="E95" t="inlineStr">
        <is>
          <t>Equity gains/losses to be excluded</t>
        </is>
      </c>
      <c r="F95" t="inlineStr">
        <is>
          <t>Decimal</t>
        </is>
      </c>
      <c r="G95" t="inlineStr">
        <is>
          <t>Yes</t>
        </is>
      </c>
      <c r="H95" t="inlineStr">
        <is>
          <t>GIR/GloBEComputation/GloBEIncome/ExclEquity</t>
        </is>
      </c>
      <c r="I95" t="inlineStr">
        <is>
          <t>Financial System</t>
        </is>
      </c>
      <c r="J95" t="inlineStr">
        <is>
          <t>Local Finance</t>
        </is>
      </c>
      <c r="K95" t="inlineStr">
        <is>
          <t>High</t>
        </is>
      </c>
      <c r="L95" t="inlineStr">
        <is>
          <t>Any value</t>
        </is>
      </c>
      <c r="M95" t="inlineStr">
        <is>
          <t>Article 3.2.1(b)</t>
        </is>
      </c>
      <c r="N95" t="inlineStr">
        <is>
          <t>Not Started</t>
        </is>
      </c>
    </row>
    <row r="96">
      <c r="A96" t="inlineStr">
        <is>
          <t>S3-005</t>
        </is>
      </c>
      <c r="B96" t="inlineStr">
        <is>
          <t>Section 3</t>
        </is>
      </c>
      <c r="C96" t="inlineStr">
        <is>
          <t>3.1 GloBE Income</t>
        </is>
      </c>
      <c r="D96" t="inlineStr">
        <is>
          <t>IncludedRecharacterisedIncome</t>
        </is>
      </c>
      <c r="E96" t="inlineStr">
        <is>
          <t>Recharacterised income to include</t>
        </is>
      </c>
      <c r="F96" t="inlineStr">
        <is>
          <t>Decimal</t>
        </is>
      </c>
      <c r="G96" t="inlineStr">
        <is>
          <t>Yes</t>
        </is>
      </c>
      <c r="H96" t="inlineStr">
        <is>
          <t>GIR/GloBEComputation/GloBEIncome/RecharIncome</t>
        </is>
      </c>
      <c r="I96" t="inlineStr">
        <is>
          <t>GIR Calculation</t>
        </is>
      </c>
      <c r="J96" t="inlineStr">
        <is>
          <t>Group Tax</t>
        </is>
      </c>
      <c r="K96" t="inlineStr">
        <is>
          <t>High</t>
        </is>
      </c>
      <c r="L96" t="inlineStr">
        <is>
          <t>Any value</t>
        </is>
      </c>
      <c r="M96" t="inlineStr">
        <is>
          <t>Article 3.2.2</t>
        </is>
      </c>
      <c r="N96" t="inlineStr">
        <is>
          <t>Not Started</t>
        </is>
      </c>
    </row>
    <row r="97">
      <c r="A97" t="inlineStr">
        <is>
          <t>S3-006</t>
        </is>
      </c>
      <c r="B97" t="inlineStr">
        <is>
          <t>Section 3</t>
        </is>
      </c>
      <c r="C97" t="inlineStr">
        <is>
          <t>3.1 GloBE Income</t>
        </is>
      </c>
      <c r="D97" t="inlineStr">
        <is>
          <t>ExcludedInternationalShipping</t>
        </is>
      </c>
      <c r="E97" t="inlineStr">
        <is>
          <t>International shipping income excluded</t>
        </is>
      </c>
      <c r="F97" t="inlineStr">
        <is>
          <t>Decimal</t>
        </is>
      </c>
      <c r="G97" t="inlineStr">
        <is>
          <t>Yes</t>
        </is>
      </c>
      <c r="H97" t="inlineStr">
        <is>
          <t>GIR/GloBEComputation/GloBEIncome/ExclShipping</t>
        </is>
      </c>
      <c r="I97" t="inlineStr">
        <is>
          <t>Financial System</t>
        </is>
      </c>
      <c r="J97" t="inlineStr">
        <is>
          <t>Local Finance</t>
        </is>
      </c>
      <c r="K97" t="inlineStr">
        <is>
          <t>High</t>
        </is>
      </c>
      <c r="L97" t="inlineStr">
        <is>
          <t>&gt;= 0</t>
        </is>
      </c>
      <c r="M97" t="inlineStr">
        <is>
          <t>Article 3.3</t>
        </is>
      </c>
      <c r="N97" t="inlineStr">
        <is>
          <t>Not Started</t>
        </is>
      </c>
    </row>
    <row r="98">
      <c r="A98" t="inlineStr">
        <is>
          <t>S3-007</t>
        </is>
      </c>
      <c r="B98" t="inlineStr">
        <is>
          <t>Section 3</t>
        </is>
      </c>
      <c r="C98" t="inlineStr">
        <is>
          <t>3.1 GloBE Income</t>
        </is>
      </c>
      <c r="D98" t="inlineStr">
        <is>
          <t>AsymmetricForeignCurrencyAdj</t>
        </is>
      </c>
      <c r="E98" t="inlineStr">
        <is>
          <t>Asymmetric foreign currency adjustments</t>
        </is>
      </c>
      <c r="F98" t="inlineStr">
        <is>
          <t>Decimal</t>
        </is>
      </c>
      <c r="G98" t="inlineStr">
        <is>
          <t>Yes</t>
        </is>
      </c>
      <c r="H98" t="inlineStr">
        <is>
          <t>GIR/GloBEComputation/GloBEIncome/FXAdj</t>
        </is>
      </c>
      <c r="I98" t="inlineStr">
        <is>
          <t>GIR Calculation</t>
        </is>
      </c>
      <c r="J98" t="inlineStr">
        <is>
          <t>Group Tax</t>
        </is>
      </c>
      <c r="K98" t="inlineStr">
        <is>
          <t>Medium</t>
        </is>
      </c>
      <c r="L98" t="inlineStr">
        <is>
          <t>Any value</t>
        </is>
      </c>
      <c r="M98" t="inlineStr">
        <is>
          <t>Article 3.2.1(c)</t>
        </is>
      </c>
      <c r="N98" t="inlineStr">
        <is>
          <t>Not Started</t>
        </is>
      </c>
    </row>
    <row r="99">
      <c r="A99" t="inlineStr">
        <is>
          <t>S3-008</t>
        </is>
      </c>
      <c r="B99" t="inlineStr">
        <is>
          <t>Section 3</t>
        </is>
      </c>
      <c r="C99" t="inlineStr">
        <is>
          <t>3.1 GloBE Income</t>
        </is>
      </c>
      <c r="D99" t="inlineStr">
        <is>
          <t>PolicyDisallowedExpenses</t>
        </is>
      </c>
      <c r="E99" t="inlineStr">
        <is>
          <t>Policy disallowed expenses add-back</t>
        </is>
      </c>
      <c r="F99" t="inlineStr">
        <is>
          <t>Decimal</t>
        </is>
      </c>
      <c r="G99" t="inlineStr">
        <is>
          <t>Yes</t>
        </is>
      </c>
      <c r="H99" t="inlineStr">
        <is>
          <t>GIR/GloBEComputation/GloBEIncome/PolicyExp</t>
        </is>
      </c>
      <c r="I99" t="inlineStr">
        <is>
          <t>GIR Calculation</t>
        </is>
      </c>
      <c r="J99" t="inlineStr">
        <is>
          <t>Group Tax</t>
        </is>
      </c>
      <c r="K99" t="inlineStr">
        <is>
          <t>Medium</t>
        </is>
      </c>
      <c r="L99" t="inlineStr">
        <is>
          <t>&gt;= 0</t>
        </is>
      </c>
      <c r="M99" t="inlineStr">
        <is>
          <t>Article 3.2.1(d)</t>
        </is>
      </c>
      <c r="N99" t="inlineStr">
        <is>
          <t>Not Started</t>
        </is>
      </c>
    </row>
    <row r="100">
      <c r="A100" t="inlineStr">
        <is>
          <t>S3-009</t>
        </is>
      </c>
      <c r="B100" t="inlineStr">
        <is>
          <t>Section 3</t>
        </is>
      </c>
      <c r="C100" t="inlineStr">
        <is>
          <t>3.1 GloBE Income</t>
        </is>
      </c>
      <c r="D100" t="inlineStr">
        <is>
          <t>PriorPeriodErrors</t>
        </is>
      </c>
      <c r="E100" t="inlineStr">
        <is>
          <t>Prior period error adjustments</t>
        </is>
      </c>
      <c r="F100" t="inlineStr">
        <is>
          <t>Decimal</t>
        </is>
      </c>
      <c r="G100" t="inlineStr">
        <is>
          <t>Yes</t>
        </is>
      </c>
      <c r="H100" t="inlineStr">
        <is>
          <t>GIR/GloBEComputation/GloBEIncome/PriorErrors</t>
        </is>
      </c>
      <c r="I100" t="inlineStr">
        <is>
          <t>GIR Calculation</t>
        </is>
      </c>
      <c r="J100" t="inlineStr">
        <is>
          <t>Group Tax</t>
        </is>
      </c>
      <c r="K100" t="inlineStr">
        <is>
          <t>Medium</t>
        </is>
      </c>
      <c r="L100" t="inlineStr">
        <is>
          <t>Any value</t>
        </is>
      </c>
      <c r="M100" t="inlineStr">
        <is>
          <t>Article 3.2.1(e)</t>
        </is>
      </c>
      <c r="N100" t="inlineStr">
        <is>
          <t>Not Started</t>
        </is>
      </c>
    </row>
    <row r="101">
      <c r="A101" t="inlineStr">
        <is>
          <t>S3-010</t>
        </is>
      </c>
      <c r="B101" t="inlineStr">
        <is>
          <t>Section 3</t>
        </is>
      </c>
      <c r="C101" t="inlineStr">
        <is>
          <t>3.1 GloBE Income</t>
        </is>
      </c>
      <c r="D101" t="inlineStr">
        <is>
          <t>AccruedPensionExpense</t>
        </is>
      </c>
      <c r="E101" t="inlineStr">
        <is>
          <t>Accrued pension expense adjustment</t>
        </is>
      </c>
      <c r="F101" t="inlineStr">
        <is>
          <t>Decimal</t>
        </is>
      </c>
      <c r="G101" t="inlineStr">
        <is>
          <t>Yes</t>
        </is>
      </c>
      <c r="H101" t="inlineStr">
        <is>
          <t>GIR/GloBEComputation/GloBEIncome/PensionAdj</t>
        </is>
      </c>
      <c r="I101" t="inlineStr">
        <is>
          <t>Financial System</t>
        </is>
      </c>
      <c r="J101" t="inlineStr">
        <is>
          <t>Local Finance</t>
        </is>
      </c>
      <c r="K101" t="inlineStr">
        <is>
          <t>Medium</t>
        </is>
      </c>
      <c r="L101" t="inlineStr">
        <is>
          <t>Any value</t>
        </is>
      </c>
      <c r="M101" t="inlineStr">
        <is>
          <t>Article 3.2.1(f)</t>
        </is>
      </c>
      <c r="N101" t="inlineStr">
        <is>
          <t>Not Started</t>
        </is>
      </c>
    </row>
    <row r="102">
      <c r="A102" t="inlineStr">
        <is>
          <t>S3-011</t>
        </is>
      </c>
      <c r="B102" t="inlineStr">
        <is>
          <t>Section 3</t>
        </is>
      </c>
      <c r="C102" t="inlineStr">
        <is>
          <t>3.1 GloBE Income</t>
        </is>
      </c>
      <c r="D102" t="inlineStr">
        <is>
          <t>StockBasedCompensation</t>
        </is>
      </c>
      <c r="E102" t="inlineStr">
        <is>
          <t>Stock-based compensation adjustment</t>
        </is>
      </c>
      <c r="F102" t="inlineStr">
        <is>
          <t>Decimal</t>
        </is>
      </c>
      <c r="G102" t="inlineStr">
        <is>
          <t>Yes</t>
        </is>
      </c>
      <c r="H102" t="inlineStr">
        <is>
          <t>GIR/GloBEComputation/GloBEIncome/SBC</t>
        </is>
      </c>
      <c r="I102" t="inlineStr">
        <is>
          <t>Financial System</t>
        </is>
      </c>
      <c r="J102" t="inlineStr">
        <is>
          <t>Local Finance</t>
        </is>
      </c>
      <c r="K102" t="inlineStr">
        <is>
          <t>Medium</t>
        </is>
      </c>
      <c r="L102" t="inlineStr">
        <is>
          <t>Any value</t>
        </is>
      </c>
      <c r="M102" t="inlineStr">
        <is>
          <t>Article 3.2.2</t>
        </is>
      </c>
      <c r="N102" t="inlineStr">
        <is>
          <t>Not Started</t>
        </is>
      </c>
    </row>
    <row r="103">
      <c r="A103" t="inlineStr">
        <is>
          <t>S3-012</t>
        </is>
      </c>
      <c r="B103" t="inlineStr">
        <is>
          <t>Section 3</t>
        </is>
      </c>
      <c r="C103" t="inlineStr">
        <is>
          <t>3.1 GloBE Income</t>
        </is>
      </c>
      <c r="D103" t="inlineStr">
        <is>
          <t>FairValueAccountingAdj</t>
        </is>
      </c>
      <c r="E103" t="inlineStr">
        <is>
          <t>Fair value accounting adjustments</t>
        </is>
      </c>
      <c r="F103" t="inlineStr">
        <is>
          <t>Decimal</t>
        </is>
      </c>
      <c r="G103" t="inlineStr">
        <is>
          <t>Yes</t>
        </is>
      </c>
      <c r="H103" t="inlineStr">
        <is>
          <t>GIR/GloBEComputation/GloBEIncome/FairValue</t>
        </is>
      </c>
      <c r="I103" t="inlineStr">
        <is>
          <t>GIR Calculation</t>
        </is>
      </c>
      <c r="J103" t="inlineStr">
        <is>
          <t>Group Tax</t>
        </is>
      </c>
      <c r="K103" t="inlineStr">
        <is>
          <t>Medium</t>
        </is>
      </c>
      <c r="L103" t="inlineStr">
        <is>
          <t>Any value</t>
        </is>
      </c>
      <c r="M103" t="inlineStr">
        <is>
          <t>Article 3.2.1(g)</t>
        </is>
      </c>
      <c r="N103" t="inlineStr">
        <is>
          <t>Not Started</t>
        </is>
      </c>
    </row>
    <row r="104">
      <c r="A104" t="inlineStr">
        <is>
          <t>S3-013</t>
        </is>
      </c>
      <c r="B104" t="inlineStr">
        <is>
          <t>Section 3</t>
        </is>
      </c>
      <c r="C104" t="inlineStr">
        <is>
          <t>3.1 GloBE Income</t>
        </is>
      </c>
      <c r="D104" t="inlineStr">
        <is>
          <t>AssetDisposalGainsLosses</t>
        </is>
      </c>
      <c r="E104" t="inlineStr">
        <is>
          <t>Gains/losses on asset disposal</t>
        </is>
      </c>
      <c r="F104" t="inlineStr">
        <is>
          <t>Decimal</t>
        </is>
      </c>
      <c r="G104" t="inlineStr">
        <is>
          <t>Yes</t>
        </is>
      </c>
      <c r="H104" t="inlineStr">
        <is>
          <t>GIR/GloBEComputation/GloBEIncome/AssetDisposal</t>
        </is>
      </c>
      <c r="I104" t="inlineStr">
        <is>
          <t>Financial System</t>
        </is>
      </c>
      <c r="J104" t="inlineStr">
        <is>
          <t>Local Finance</t>
        </is>
      </c>
      <c r="K104" t="inlineStr">
        <is>
          <t>Medium</t>
        </is>
      </c>
      <c r="L104" t="inlineStr">
        <is>
          <t>Any value</t>
        </is>
      </c>
      <c r="M104" t="inlineStr">
        <is>
          <t>Article 3.2.1(h)</t>
        </is>
      </c>
      <c r="N104" t="inlineStr">
        <is>
          <t>Not Started</t>
        </is>
      </c>
    </row>
    <row r="105">
      <c r="A105" t="inlineStr">
        <is>
          <t>S3-014</t>
        </is>
      </c>
      <c r="B105" t="inlineStr">
        <is>
          <t>Section 3</t>
        </is>
      </c>
      <c r="C105" t="inlineStr">
        <is>
          <t>3.1 GloBE Income</t>
        </is>
      </c>
      <c r="D105" t="inlineStr">
        <is>
          <t>IntraGroupTransactions</t>
        </is>
      </c>
      <c r="E105" t="inlineStr">
        <is>
          <t>Intra-group transaction adjustments</t>
        </is>
      </c>
      <c r="F105" t="inlineStr">
        <is>
          <t>Decimal</t>
        </is>
      </c>
      <c r="G105" t="inlineStr">
        <is>
          <t>Yes</t>
        </is>
      </c>
      <c r="H105" t="inlineStr">
        <is>
          <t>GIR/GloBEComputation/GloBEIncome/IntraGroup</t>
        </is>
      </c>
      <c r="I105" t="inlineStr">
        <is>
          <t>Consolidation System</t>
        </is>
      </c>
      <c r="J105" t="inlineStr">
        <is>
          <t>Group Finance</t>
        </is>
      </c>
      <c r="K105" t="inlineStr">
        <is>
          <t>High</t>
        </is>
      </c>
      <c r="L105" t="inlineStr">
        <is>
          <t>Any value</t>
        </is>
      </c>
      <c r="M105" t="inlineStr">
        <is>
          <t>Arm's length</t>
        </is>
      </c>
      <c r="N105" t="inlineStr">
        <is>
          <t>Not Started</t>
        </is>
      </c>
    </row>
    <row r="106">
      <c r="A106" t="inlineStr">
        <is>
          <t>S3-015</t>
        </is>
      </c>
      <c r="B106" t="inlineStr">
        <is>
          <t>Section 3</t>
        </is>
      </c>
      <c r="C106" t="inlineStr">
        <is>
          <t>3.1 GloBE Income</t>
        </is>
      </c>
      <c r="D106" t="inlineStr">
        <is>
          <t>InsuranceCompanyAdj</t>
        </is>
      </c>
      <c r="E106" t="inlineStr">
        <is>
          <t>Insurance company specific adjustments</t>
        </is>
      </c>
      <c r="F106" t="inlineStr">
        <is>
          <t>Decimal</t>
        </is>
      </c>
      <c r="G106" t="inlineStr">
        <is>
          <t>Conditional</t>
        </is>
      </c>
      <c r="H106" t="inlineStr">
        <is>
          <t>GIR/GloBEComputation/GloBEIncome/Insurance</t>
        </is>
      </c>
      <c r="I106" t="inlineStr">
        <is>
          <t>Financial System</t>
        </is>
      </c>
      <c r="J106" t="inlineStr">
        <is>
          <t>Local Finance</t>
        </is>
      </c>
      <c r="K106" t="inlineStr">
        <is>
          <t>Medium</t>
        </is>
      </c>
      <c r="L106" t="inlineStr">
        <is>
          <t>Any value</t>
        </is>
      </c>
      <c r="M106" t="inlineStr">
        <is>
          <t>If insurance CE</t>
        </is>
      </c>
      <c r="N106" t="inlineStr">
        <is>
          <t>Not Started</t>
        </is>
      </c>
    </row>
    <row r="107">
      <c r="A107" t="inlineStr">
        <is>
          <t>S3-016</t>
        </is>
      </c>
      <c r="B107" t="inlineStr">
        <is>
          <t>Section 3</t>
        </is>
      </c>
      <c r="C107" t="inlineStr">
        <is>
          <t>3.1 GloBE Income</t>
        </is>
      </c>
      <c r="D107" t="inlineStr">
        <is>
          <t>AdjustedGloBEIncome</t>
        </is>
      </c>
      <c r="E107" t="inlineStr">
        <is>
          <t>Total GloBE Income after adjustments</t>
        </is>
      </c>
      <c r="F107" t="inlineStr">
        <is>
          <t>Decimal</t>
        </is>
      </c>
      <c r="G107" t="inlineStr">
        <is>
          <t>Yes</t>
        </is>
      </c>
      <c r="H107" t="inlineStr">
        <is>
          <t>GIR/GloBEComputation/GloBEIncome/Adjusted</t>
        </is>
      </c>
      <c r="I107" t="inlineStr">
        <is>
          <t>GIR Calculation</t>
        </is>
      </c>
      <c r="J107" t="inlineStr">
        <is>
          <t>Group Tax</t>
        </is>
      </c>
      <c r="K107" t="inlineStr">
        <is>
          <t>Critical</t>
        </is>
      </c>
      <c r="L107" t="inlineStr">
        <is>
          <t>Any value</t>
        </is>
      </c>
      <c r="M107" t="inlineStr">
        <is>
          <t>Sum of above</t>
        </is>
      </c>
      <c r="N107" t="inlineStr">
        <is>
          <t>Not Started</t>
        </is>
      </c>
    </row>
    <row r="108">
      <c r="A108" t="inlineStr">
        <is>
          <t>S3-017</t>
        </is>
      </c>
      <c r="B108" t="inlineStr">
        <is>
          <t>Section 3</t>
        </is>
      </c>
      <c r="C108" t="inlineStr">
        <is>
          <t>3.1 GloBE Income</t>
        </is>
      </c>
      <c r="D108" t="inlineStr">
        <is>
          <t>GloBELossCarryforward</t>
        </is>
      </c>
      <c r="E108" t="inlineStr">
        <is>
          <t>GloBE Loss carried forward</t>
        </is>
      </c>
      <c r="F108" t="inlineStr">
        <is>
          <t>Decimal</t>
        </is>
      </c>
      <c r="G108" t="inlineStr">
        <is>
          <t>Yes</t>
        </is>
      </c>
      <c r="H108" t="inlineStr">
        <is>
          <t>GIR/GloBEComputation/GloBEIncome/LossCF</t>
        </is>
      </c>
      <c r="I108" t="inlineStr">
        <is>
          <t>GIR Calculation</t>
        </is>
      </c>
      <c r="J108" t="inlineStr">
        <is>
          <t>Group Tax</t>
        </is>
      </c>
      <c r="K108" t="inlineStr">
        <is>
          <t>High</t>
        </is>
      </c>
      <c r="L108" t="inlineStr">
        <is>
          <t>&gt;= 0</t>
        </is>
      </c>
      <c r="M108" t="inlineStr">
        <is>
          <t>Prior year losses</t>
        </is>
      </c>
      <c r="N108" t="inlineStr">
        <is>
          <t>Not Started</t>
        </is>
      </c>
    </row>
    <row r="109">
      <c r="A109" t="inlineStr">
        <is>
          <t>S3-018</t>
        </is>
      </c>
      <c r="B109" t="inlineStr">
        <is>
          <t>Section 3</t>
        </is>
      </c>
      <c r="C109" t="inlineStr">
        <is>
          <t>3.1 GloBE Income</t>
        </is>
      </c>
      <c r="D109" t="inlineStr">
        <is>
          <t>NetGloBEIncomeAfterLoss</t>
        </is>
      </c>
      <c r="E109" t="inlineStr">
        <is>
          <t>GloBE Income after loss offset</t>
        </is>
      </c>
      <c r="F109" t="inlineStr">
        <is>
          <t>Decimal</t>
        </is>
      </c>
      <c r="G109" t="inlineStr">
        <is>
          <t>Yes</t>
        </is>
      </c>
      <c r="H109" t="inlineStr">
        <is>
          <t>GIR/GloBEComputation/GloBEIncome/NetIncome</t>
        </is>
      </c>
      <c r="I109" t="inlineStr">
        <is>
          <t>GIR Calculation</t>
        </is>
      </c>
      <c r="J109" t="inlineStr">
        <is>
          <t>Group Tax</t>
        </is>
      </c>
      <c r="K109" t="inlineStr">
        <is>
          <t>Critical</t>
        </is>
      </c>
      <c r="L109" t="inlineStr">
        <is>
          <t>Any value</t>
        </is>
      </c>
      <c r="M109" t="inlineStr">
        <is>
          <t>For ETR calc</t>
        </is>
      </c>
      <c r="N109" t="inlineStr">
        <is>
          <t>Not Started</t>
        </is>
      </c>
    </row>
    <row r="110">
      <c r="A110" t="inlineStr">
        <is>
          <t>S3-019</t>
        </is>
      </c>
      <c r="B110" t="inlineStr">
        <is>
          <t>Section 3</t>
        </is>
      </c>
      <c r="C110" t="inlineStr">
        <is>
          <t>3.2 Article 3.2 Adj</t>
        </is>
      </c>
      <c r="D110" t="inlineStr">
        <is>
          <t>Art321aDividendExclusion</t>
        </is>
      </c>
      <c r="E110" t="inlineStr">
        <is>
          <t>Article 3.2.1(a) dividend exclusion</t>
        </is>
      </c>
      <c r="F110" t="inlineStr">
        <is>
          <t>Decimal</t>
        </is>
      </c>
      <c r="G110" t="inlineStr">
        <is>
          <t>Yes</t>
        </is>
      </c>
      <c r="H110" t="inlineStr">
        <is>
          <t>GIR/GloBEComputation/Art32/Dividends</t>
        </is>
      </c>
      <c r="I110" t="inlineStr">
        <is>
          <t>GIR Calculation</t>
        </is>
      </c>
      <c r="J110" t="inlineStr">
        <is>
          <t>Group Tax</t>
        </is>
      </c>
      <c r="K110" t="inlineStr">
        <is>
          <t>High</t>
        </is>
      </c>
      <c r="L110" t="inlineStr">
        <is>
          <t>&gt;= 0</t>
        </is>
      </c>
      <c r="M110" t="inlineStr">
        <is>
          <t>Portfolio dividends</t>
        </is>
      </c>
      <c r="N110" t="inlineStr">
        <is>
          <t>Not Started</t>
        </is>
      </c>
    </row>
    <row r="111">
      <c r="A111" t="inlineStr">
        <is>
          <t>S3-020</t>
        </is>
      </c>
      <c r="B111" t="inlineStr">
        <is>
          <t>Section 3</t>
        </is>
      </c>
      <c r="C111" t="inlineStr">
        <is>
          <t>3.2 Article 3.2 Adj</t>
        </is>
      </c>
      <c r="D111" t="inlineStr">
        <is>
          <t>Art321bEquityExclusion</t>
        </is>
      </c>
      <c r="E111" t="inlineStr">
        <is>
          <t>Article 3.2.1(b) equity exclusion</t>
        </is>
      </c>
      <c r="F111" t="inlineStr">
        <is>
          <t>Decimal</t>
        </is>
      </c>
      <c r="G111" t="inlineStr">
        <is>
          <t>Yes</t>
        </is>
      </c>
      <c r="H111" t="inlineStr">
        <is>
          <t>GIR/GloBEComputation/Art32/Equity</t>
        </is>
      </c>
      <c r="I111" t="inlineStr">
        <is>
          <t>GIR Calculation</t>
        </is>
      </c>
      <c r="J111" t="inlineStr">
        <is>
          <t>Group Tax</t>
        </is>
      </c>
      <c r="K111" t="inlineStr">
        <is>
          <t>High</t>
        </is>
      </c>
      <c r="L111" t="inlineStr">
        <is>
          <t>Any value</t>
        </is>
      </c>
      <c r="M111" t="inlineStr">
        <is>
          <t>Ownership interest</t>
        </is>
      </c>
      <c r="N111" t="inlineStr">
        <is>
          <t>Not Started</t>
        </is>
      </c>
    </row>
    <row r="112">
      <c r="A112" t="inlineStr">
        <is>
          <t>S3-021</t>
        </is>
      </c>
      <c r="B112" t="inlineStr">
        <is>
          <t>Section 3</t>
        </is>
      </c>
      <c r="C112" t="inlineStr">
        <is>
          <t>3.2 Article 3.2 Adj</t>
        </is>
      </c>
      <c r="D112" t="inlineStr">
        <is>
          <t>Art321cForeignCurrency</t>
        </is>
      </c>
      <c r="E112" t="inlineStr">
        <is>
          <t>Article 3.2.1(c) FX adjustments</t>
        </is>
      </c>
      <c r="F112" t="inlineStr">
        <is>
          <t>Decimal</t>
        </is>
      </c>
      <c r="G112" t="inlineStr">
        <is>
          <t>Yes</t>
        </is>
      </c>
      <c r="H112" t="inlineStr">
        <is>
          <t>GIR/GloBEComputation/Art32/FX</t>
        </is>
      </c>
      <c r="I112" t="inlineStr">
        <is>
          <t>GIR Calculation</t>
        </is>
      </c>
      <c r="J112" t="inlineStr">
        <is>
          <t>Group Tax</t>
        </is>
      </c>
      <c r="K112" t="inlineStr">
        <is>
          <t>Medium</t>
        </is>
      </c>
      <c r="L112" t="inlineStr">
        <is>
          <t>Any value</t>
        </is>
      </c>
      <c r="M112" t="inlineStr">
        <is>
          <t>Asymmetric gains</t>
        </is>
      </c>
      <c r="N112" t="inlineStr">
        <is>
          <t>Not Started</t>
        </is>
      </c>
    </row>
    <row r="113">
      <c r="A113" t="inlineStr">
        <is>
          <t>S3-022</t>
        </is>
      </c>
      <c r="B113" t="inlineStr">
        <is>
          <t>Section 3</t>
        </is>
      </c>
      <c r="C113" t="inlineStr">
        <is>
          <t>3.2 Article 3.2 Adj</t>
        </is>
      </c>
      <c r="D113" t="inlineStr">
        <is>
          <t>Art321dPolicyExpenses</t>
        </is>
      </c>
      <c r="E113" t="inlineStr">
        <is>
          <t>Article 3.2.1(d) policy expenses</t>
        </is>
      </c>
      <c r="F113" t="inlineStr">
        <is>
          <t>Decimal</t>
        </is>
      </c>
      <c r="G113" t="inlineStr">
        <is>
          <t>Yes</t>
        </is>
      </c>
      <c r="H113" t="inlineStr">
        <is>
          <t>GIR/GloBEComputation/Art32/Policy</t>
        </is>
      </c>
      <c r="I113" t="inlineStr">
        <is>
          <t>GIR Calculation</t>
        </is>
      </c>
      <c r="J113" t="inlineStr">
        <is>
          <t>Group Tax</t>
        </is>
      </c>
      <c r="K113" t="inlineStr">
        <is>
          <t>Medium</t>
        </is>
      </c>
      <c r="L113" t="inlineStr">
        <is>
          <t>&gt;= 0</t>
        </is>
      </c>
      <c r="M113" t="inlineStr">
        <is>
          <t>Illegal payments etc</t>
        </is>
      </c>
      <c r="N113" t="inlineStr">
        <is>
          <t>Not Started</t>
        </is>
      </c>
    </row>
    <row r="114">
      <c r="A114" t="inlineStr">
        <is>
          <t>S3-023</t>
        </is>
      </c>
      <c r="B114" t="inlineStr">
        <is>
          <t>Section 3</t>
        </is>
      </c>
      <c r="C114" t="inlineStr">
        <is>
          <t>3.2 Article 3.2 Adj</t>
        </is>
      </c>
      <c r="D114" t="inlineStr">
        <is>
          <t>Art321ePriorPeriod</t>
        </is>
      </c>
      <c r="E114" t="inlineStr">
        <is>
          <t>Article 3.2.1(e) prior period errors</t>
        </is>
      </c>
      <c r="F114" t="inlineStr">
        <is>
          <t>Decimal</t>
        </is>
      </c>
      <c r="G114" t="inlineStr">
        <is>
          <t>Yes</t>
        </is>
      </c>
      <c r="H114" t="inlineStr">
        <is>
          <t>GIR/GloBEComputation/Art32/PriorPeriod</t>
        </is>
      </c>
      <c r="I114" t="inlineStr">
        <is>
          <t>GIR Calculation</t>
        </is>
      </c>
      <c r="J114" t="inlineStr">
        <is>
          <t>Group Tax</t>
        </is>
      </c>
      <c r="K114" t="inlineStr">
        <is>
          <t>Medium</t>
        </is>
      </c>
      <c r="L114" t="inlineStr">
        <is>
          <t>Any value</t>
        </is>
      </c>
      <c r="M114" t="inlineStr">
        <is>
          <t>Material errors</t>
        </is>
      </c>
      <c r="N114" t="inlineStr">
        <is>
          <t>Not Started</t>
        </is>
      </c>
    </row>
    <row r="115">
      <c r="A115" t="inlineStr">
        <is>
          <t>S3-024</t>
        </is>
      </c>
      <c r="B115" t="inlineStr">
        <is>
          <t>Section 3</t>
        </is>
      </c>
      <c r="C115" t="inlineStr">
        <is>
          <t>3.2 Article 3.2 Adj</t>
        </is>
      </c>
      <c r="D115" t="inlineStr">
        <is>
          <t>Art321fPensionLiability</t>
        </is>
      </c>
      <c r="E115" t="inlineStr">
        <is>
          <t>Article 3.2.1(f) pension adjustment</t>
        </is>
      </c>
      <c r="F115" t="inlineStr">
        <is>
          <t>Decimal</t>
        </is>
      </c>
      <c r="G115" t="inlineStr">
        <is>
          <t>Yes</t>
        </is>
      </c>
      <c r="H115" t="inlineStr">
        <is>
          <t>GIR/GloBEComputation/Art32/Pension</t>
        </is>
      </c>
      <c r="I115" t="inlineStr">
        <is>
          <t>GIR Calculation</t>
        </is>
      </c>
      <c r="J115" t="inlineStr">
        <is>
          <t>Group Tax</t>
        </is>
      </c>
      <c r="K115" t="inlineStr">
        <is>
          <t>Medium</t>
        </is>
      </c>
      <c r="L115" t="inlineStr">
        <is>
          <t>Any value</t>
        </is>
      </c>
      <c r="M115" t="inlineStr">
        <is>
          <t>Funding vs accrual</t>
        </is>
      </c>
      <c r="N115" t="inlineStr">
        <is>
          <t>Not Started</t>
        </is>
      </c>
    </row>
    <row r="116">
      <c r="A116" t="inlineStr">
        <is>
          <t>S3-025</t>
        </is>
      </c>
      <c r="B116" t="inlineStr">
        <is>
          <t>Section 3</t>
        </is>
      </c>
      <c r="C116" t="inlineStr">
        <is>
          <t>3.2 Article 3.2 Adj</t>
        </is>
      </c>
      <c r="D116" t="inlineStr">
        <is>
          <t>Art322StockCompensation</t>
        </is>
      </c>
      <c r="E116" t="inlineStr">
        <is>
          <t>Article 3.2.2 stock compensation</t>
        </is>
      </c>
      <c r="F116" t="inlineStr">
        <is>
          <t>Decimal</t>
        </is>
      </c>
      <c r="G116" t="inlineStr">
        <is>
          <t>Yes</t>
        </is>
      </c>
      <c r="H116" t="inlineStr">
        <is>
          <t>GIR/GloBEComputation/Art32/Stock</t>
        </is>
      </c>
      <c r="I116" t="inlineStr">
        <is>
          <t>GIR Calculation</t>
        </is>
      </c>
      <c r="J116" t="inlineStr">
        <is>
          <t>Group Tax</t>
        </is>
      </c>
      <c r="K116" t="inlineStr">
        <is>
          <t>Medium</t>
        </is>
      </c>
      <c r="L116" t="inlineStr">
        <is>
          <t>Any value</t>
        </is>
      </c>
      <c r="M116" t="inlineStr">
        <is>
          <t>Election available</t>
        </is>
      </c>
      <c r="N116" t="inlineStr">
        <is>
          <t>Not Started</t>
        </is>
      </c>
    </row>
    <row r="117">
      <c r="A117" t="inlineStr">
        <is>
          <t>S3-026</t>
        </is>
      </c>
      <c r="B117" t="inlineStr">
        <is>
          <t>Section 3</t>
        </is>
      </c>
      <c r="C117" t="inlineStr">
        <is>
          <t>3.2 Article 3.2 Adj</t>
        </is>
      </c>
      <c r="D117" t="inlineStr">
        <is>
          <t>Art323AsymmetricGains</t>
        </is>
      </c>
      <c r="E117" t="inlineStr">
        <is>
          <t>Article 3.2.3 asymmetric gains</t>
        </is>
      </c>
      <c r="F117" t="inlineStr">
        <is>
          <t>Decimal</t>
        </is>
      </c>
      <c r="G117" t="inlineStr">
        <is>
          <t>Yes</t>
        </is>
      </c>
      <c r="H117" t="inlineStr">
        <is>
          <t>GIR/GloBEComputation/Art32/AsymGains</t>
        </is>
      </c>
      <c r="I117" t="inlineStr">
        <is>
          <t>GIR Calculation</t>
        </is>
      </c>
      <c r="J117" t="inlineStr">
        <is>
          <t>Group Tax</t>
        </is>
      </c>
      <c r="K117" t="inlineStr">
        <is>
          <t>Medium</t>
        </is>
      </c>
      <c r="L117" t="inlineStr">
        <is>
          <t>Any value</t>
        </is>
      </c>
      <c r="M117" t="inlineStr">
        <is>
          <t>Fair value option</t>
        </is>
      </c>
      <c r="N117" t="inlineStr">
        <is>
          <t>Not Started</t>
        </is>
      </c>
    </row>
    <row r="118">
      <c r="A118" t="inlineStr">
        <is>
          <t>S3-027</t>
        </is>
      </c>
      <c r="B118" t="inlineStr">
        <is>
          <t>Section 3</t>
        </is>
      </c>
      <c r="C118" t="inlineStr">
        <is>
          <t>3.2 Article 3.2 Adj</t>
        </is>
      </c>
      <c r="D118" t="inlineStr">
        <is>
          <t>Art324QualifyingRefTax</t>
        </is>
      </c>
      <c r="E118" t="inlineStr">
        <is>
          <t>Article 3.2.4 refundable tax credits</t>
        </is>
      </c>
      <c r="F118" t="inlineStr">
        <is>
          <t>Decimal</t>
        </is>
      </c>
      <c r="G118" t="inlineStr">
        <is>
          <t>Yes</t>
        </is>
      </c>
      <c r="H118" t="inlineStr">
        <is>
          <t>GIR/GloBEComputation/Art32/QRTC</t>
        </is>
      </c>
      <c r="I118" t="inlineStr">
        <is>
          <t>GIR Calculation</t>
        </is>
      </c>
      <c r="J118" t="inlineStr">
        <is>
          <t>Group Tax</t>
        </is>
      </c>
      <c r="K118" t="inlineStr">
        <is>
          <t>High</t>
        </is>
      </c>
      <c r="L118" t="inlineStr">
        <is>
          <t>&gt;= 0</t>
        </is>
      </c>
      <c r="M118" t="inlineStr">
        <is>
          <t>Treated as income</t>
        </is>
      </c>
      <c r="N118" t="inlineStr">
        <is>
          <t>Not Started</t>
        </is>
      </c>
    </row>
    <row r="119">
      <c r="A119" t="inlineStr">
        <is>
          <t>S3-028</t>
        </is>
      </c>
      <c r="B119" t="inlineStr">
        <is>
          <t>Section 3</t>
        </is>
      </c>
      <c r="C119" t="inlineStr">
        <is>
          <t>3.2 Article 3.2 Adj</t>
        </is>
      </c>
      <c r="D119" t="inlineStr">
        <is>
          <t>TotalArticle32Adjustments</t>
        </is>
      </c>
      <c r="E119" t="inlineStr">
        <is>
          <t>Total Article 3.2 adjustments</t>
        </is>
      </c>
      <c r="F119" t="inlineStr">
        <is>
          <t>Decimal</t>
        </is>
      </c>
      <c r="G119" t="inlineStr">
        <is>
          <t>Yes</t>
        </is>
      </c>
      <c r="H119" t="inlineStr">
        <is>
          <t>GIR/GloBEComputation/Art32/Total</t>
        </is>
      </c>
      <c r="I119" t="inlineStr">
        <is>
          <t>GIR Calculation</t>
        </is>
      </c>
      <c r="J119" t="inlineStr">
        <is>
          <t>Group Tax</t>
        </is>
      </c>
      <c r="K119" t="inlineStr">
        <is>
          <t>Critical</t>
        </is>
      </c>
      <c r="L119" t="inlineStr">
        <is>
          <t>Any value</t>
        </is>
      </c>
      <c r="M119" t="inlineStr">
        <is>
          <t>Sum of adjustments</t>
        </is>
      </c>
      <c r="N119" t="inlineStr">
        <is>
          <t>Not Started</t>
        </is>
      </c>
    </row>
    <row r="120">
      <c r="A120" t="inlineStr">
        <is>
          <t>S3-029</t>
        </is>
      </c>
      <c r="B120" t="inlineStr">
        <is>
          <t>Section 3</t>
        </is>
      </c>
      <c r="C120" t="inlineStr">
        <is>
          <t>3.3 Covered Taxes</t>
        </is>
      </c>
      <c r="D120" t="inlineStr">
        <is>
          <t>CurrentTaxExpense</t>
        </is>
      </c>
      <c r="E120" t="inlineStr">
        <is>
          <t>Current tax expense per accounts</t>
        </is>
      </c>
      <c r="F120" t="inlineStr">
        <is>
          <t>Decimal</t>
        </is>
      </c>
      <c r="G120" t="inlineStr">
        <is>
          <t>Yes</t>
        </is>
      </c>
      <c r="H120" t="inlineStr">
        <is>
          <t>GIR/GloBEComputation/CoveredTaxes/CurrentTax</t>
        </is>
      </c>
      <c r="I120" t="inlineStr">
        <is>
          <t>Tax Provision</t>
        </is>
      </c>
      <c r="J120" t="inlineStr">
        <is>
          <t>Local Tax</t>
        </is>
      </c>
      <c r="K120" t="inlineStr">
        <is>
          <t>Critical</t>
        </is>
      </c>
      <c r="L120" t="inlineStr">
        <is>
          <t>Any value</t>
        </is>
      </c>
      <c r="M120" t="inlineStr">
        <is>
          <t>P&amp;L current tax</t>
        </is>
      </c>
      <c r="N120" t="inlineStr">
        <is>
          <t>Not Started</t>
        </is>
      </c>
    </row>
    <row r="121">
      <c r="A121" t="inlineStr">
        <is>
          <t>S3-030</t>
        </is>
      </c>
      <c r="B121" t="inlineStr">
        <is>
          <t>Section 3</t>
        </is>
      </c>
      <c r="C121" t="inlineStr">
        <is>
          <t>3.3 Covered Taxes</t>
        </is>
      </c>
      <c r="D121" t="inlineStr">
        <is>
          <t>DeferredTaxExpense</t>
        </is>
      </c>
      <c r="E121" t="inlineStr">
        <is>
          <t>Deferred tax expense per accounts</t>
        </is>
      </c>
      <c r="F121" t="inlineStr">
        <is>
          <t>Decimal</t>
        </is>
      </c>
      <c r="G121" t="inlineStr">
        <is>
          <t>Yes</t>
        </is>
      </c>
      <c r="H121" t="inlineStr">
        <is>
          <t>GIR/GloBEComputation/CoveredTaxes/DeferredTax</t>
        </is>
      </c>
      <c r="I121" t="inlineStr">
        <is>
          <t>Tax Provision</t>
        </is>
      </c>
      <c r="J121" t="inlineStr">
        <is>
          <t>Local Tax</t>
        </is>
      </c>
      <c r="K121" t="inlineStr">
        <is>
          <t>Critical</t>
        </is>
      </c>
      <c r="L121" t="inlineStr">
        <is>
          <t>Any value</t>
        </is>
      </c>
      <c r="M121" t="inlineStr">
        <is>
          <t>P&amp;L deferred tax</t>
        </is>
      </c>
      <c r="N121" t="inlineStr">
        <is>
          <t>Not Started</t>
        </is>
      </c>
    </row>
    <row r="122">
      <c r="A122" t="inlineStr">
        <is>
          <t>S3-031</t>
        </is>
      </c>
      <c r="B122" t="inlineStr">
        <is>
          <t>Section 3</t>
        </is>
      </c>
      <c r="C122" t="inlineStr">
        <is>
          <t>3.3 Covered Taxes</t>
        </is>
      </c>
      <c r="D122" t="inlineStr">
        <is>
          <t>TaxesRecordedInOCI</t>
        </is>
      </c>
      <c r="E122" t="inlineStr">
        <is>
          <t>Taxes recorded in OCI</t>
        </is>
      </c>
      <c r="F122" t="inlineStr">
        <is>
          <t>Decimal</t>
        </is>
      </c>
      <c r="G122" t="inlineStr">
        <is>
          <t>Yes</t>
        </is>
      </c>
      <c r="H122" t="inlineStr">
        <is>
          <t>GIR/GloBEComputation/CoveredTaxes/OCI</t>
        </is>
      </c>
      <c r="I122" t="inlineStr">
        <is>
          <t>Tax Provision</t>
        </is>
      </c>
      <c r="J122" t="inlineStr">
        <is>
          <t>Local Tax</t>
        </is>
      </c>
      <c r="K122" t="inlineStr">
        <is>
          <t>Medium</t>
        </is>
      </c>
      <c r="L122" t="inlineStr">
        <is>
          <t>Any value</t>
        </is>
      </c>
      <c r="M122" t="inlineStr">
        <is>
          <t>Other comprehensive</t>
        </is>
      </c>
      <c r="N122" t="inlineStr">
        <is>
          <t>Not Started</t>
        </is>
      </c>
    </row>
    <row r="123">
      <c r="A123" t="inlineStr">
        <is>
          <t>S3-032</t>
        </is>
      </c>
      <c r="B123" t="inlineStr">
        <is>
          <t>Section 3</t>
        </is>
      </c>
      <c r="C123" t="inlineStr">
        <is>
          <t>3.3 Covered Taxes</t>
        </is>
      </c>
      <c r="D123" t="inlineStr">
        <is>
          <t>TaxesRecordedInEquity</t>
        </is>
      </c>
      <c r="E123" t="inlineStr">
        <is>
          <t>Taxes recorded directly in equity</t>
        </is>
      </c>
      <c r="F123" t="inlineStr">
        <is>
          <t>Decimal</t>
        </is>
      </c>
      <c r="G123" t="inlineStr">
        <is>
          <t>Yes</t>
        </is>
      </c>
      <c r="H123" t="inlineStr">
        <is>
          <t>GIR/GloBEComputation/CoveredTaxes/Equity</t>
        </is>
      </c>
      <c r="I123" t="inlineStr">
        <is>
          <t>Tax Provision</t>
        </is>
      </c>
      <c r="J123" t="inlineStr">
        <is>
          <t>Local Tax</t>
        </is>
      </c>
      <c r="K123" t="inlineStr">
        <is>
          <t>Medium</t>
        </is>
      </c>
      <c r="L123" t="inlineStr">
        <is>
          <t>Any value</t>
        </is>
      </c>
      <c r="M123" t="inlineStr">
        <is>
          <t>Equity movements</t>
        </is>
      </c>
      <c r="N123" t="inlineStr">
        <is>
          <t>Not Started</t>
        </is>
      </c>
    </row>
    <row r="124">
      <c r="A124" t="inlineStr">
        <is>
          <t>S3-033</t>
        </is>
      </c>
      <c r="B124" t="inlineStr">
        <is>
          <t>Section 3</t>
        </is>
      </c>
      <c r="C124" t="inlineStr">
        <is>
          <t>3.3 Covered Taxes</t>
        </is>
      </c>
      <c r="D124" t="inlineStr">
        <is>
          <t>QualifiedDomesticMinTax</t>
        </is>
      </c>
      <c r="E124" t="inlineStr">
        <is>
          <t>Qualified Domestic Minimum Tax</t>
        </is>
      </c>
      <c r="F124" t="inlineStr">
        <is>
          <t>Decimal</t>
        </is>
      </c>
      <c r="G124" t="inlineStr">
        <is>
          <t>Yes</t>
        </is>
      </c>
      <c r="H124" t="inlineStr">
        <is>
          <t>GIR/GloBEComputation/CoveredTaxes/QDMTT</t>
        </is>
      </c>
      <c r="I124" t="inlineStr">
        <is>
          <t>Tax Provision</t>
        </is>
      </c>
      <c r="J124" t="inlineStr">
        <is>
          <t>Local Tax</t>
        </is>
      </c>
      <c r="K124" t="inlineStr">
        <is>
          <t>Critical</t>
        </is>
      </c>
      <c r="L124" t="inlineStr">
        <is>
          <t>&gt;= 0</t>
        </is>
      </c>
      <c r="M124" t="inlineStr">
        <is>
          <t>Local top-up</t>
        </is>
      </c>
      <c r="N124" t="inlineStr">
        <is>
          <t>Not Started</t>
        </is>
      </c>
    </row>
    <row r="125">
      <c r="A125" t="inlineStr">
        <is>
          <t>S3-034</t>
        </is>
      </c>
      <c r="B125" t="inlineStr">
        <is>
          <t>Section 3</t>
        </is>
      </c>
      <c r="C125" t="inlineStr">
        <is>
          <t>3.3 Covered Taxes</t>
        </is>
      </c>
      <c r="D125" t="inlineStr">
        <is>
          <t>QualifiedIIR</t>
        </is>
      </c>
      <c r="E125" t="inlineStr">
        <is>
          <t>Qualified IIR tax paid</t>
        </is>
      </c>
      <c r="F125" t="inlineStr">
        <is>
          <t>Decimal</t>
        </is>
      </c>
      <c r="G125" t="inlineStr">
        <is>
          <t>Yes</t>
        </is>
      </c>
      <c r="H125" t="inlineStr">
        <is>
          <t>GIR/GloBEComputation/CoveredTaxes/IIR</t>
        </is>
      </c>
      <c r="I125" t="inlineStr">
        <is>
          <t>Tax Provision</t>
        </is>
      </c>
      <c r="J125" t="inlineStr">
        <is>
          <t>Local Tax</t>
        </is>
      </c>
      <c r="K125" t="inlineStr">
        <is>
          <t>Critical</t>
        </is>
      </c>
      <c r="L125" t="inlineStr">
        <is>
          <t>&gt;= 0</t>
        </is>
      </c>
      <c r="M125" t="inlineStr">
        <is>
          <t>Parent jurisdiction</t>
        </is>
      </c>
      <c r="N125" t="inlineStr">
        <is>
          <t>Not Started</t>
        </is>
      </c>
    </row>
    <row r="126">
      <c r="A126" t="inlineStr">
        <is>
          <t>S3-035</t>
        </is>
      </c>
      <c r="B126" t="inlineStr">
        <is>
          <t>Section 3</t>
        </is>
      </c>
      <c r="C126" t="inlineStr">
        <is>
          <t>3.3 Covered Taxes</t>
        </is>
      </c>
      <c r="D126" t="inlineStr">
        <is>
          <t>QualifiedUTPR</t>
        </is>
      </c>
      <c r="E126" t="inlineStr">
        <is>
          <t>Qualified UTPR tax paid</t>
        </is>
      </c>
      <c r="F126" t="inlineStr">
        <is>
          <t>Decimal</t>
        </is>
      </c>
      <c r="G126" t="inlineStr">
        <is>
          <t>Yes</t>
        </is>
      </c>
      <c r="H126" t="inlineStr">
        <is>
          <t>GIR/GloBEComputation/CoveredTaxes/UTPR</t>
        </is>
      </c>
      <c r="I126" t="inlineStr">
        <is>
          <t>Tax Provision</t>
        </is>
      </c>
      <c r="J126" t="inlineStr">
        <is>
          <t>Local Tax</t>
        </is>
      </c>
      <c r="K126" t="inlineStr">
        <is>
          <t>Critical</t>
        </is>
      </c>
      <c r="L126" t="inlineStr">
        <is>
          <t>&gt;= 0</t>
        </is>
      </c>
      <c r="M126" t="inlineStr">
        <is>
          <t>Backstop tax</t>
        </is>
      </c>
      <c r="N126" t="inlineStr">
        <is>
          <t>Not Started</t>
        </is>
      </c>
    </row>
    <row r="127">
      <c r="A127" t="inlineStr">
        <is>
          <t>S3-036</t>
        </is>
      </c>
      <c r="B127" t="inlineStr">
        <is>
          <t>Section 3</t>
        </is>
      </c>
      <c r="C127" t="inlineStr">
        <is>
          <t>3.3 Covered Taxes</t>
        </is>
      </c>
      <c r="D127" t="inlineStr">
        <is>
          <t>WithholdingTaxesPaid</t>
        </is>
      </c>
      <c r="E127" t="inlineStr">
        <is>
          <t>Withholding taxes included</t>
        </is>
      </c>
      <c r="F127" t="inlineStr">
        <is>
          <t>Decimal</t>
        </is>
      </c>
      <c r="G127" t="inlineStr">
        <is>
          <t>Yes</t>
        </is>
      </c>
      <c r="H127" t="inlineStr">
        <is>
          <t>GIR/GloBEComputation/CoveredTaxes/WHT</t>
        </is>
      </c>
      <c r="I127" t="inlineStr">
        <is>
          <t>Tax Provision</t>
        </is>
      </c>
      <c r="J127" t="inlineStr">
        <is>
          <t>Local Tax</t>
        </is>
      </c>
      <c r="K127" t="inlineStr">
        <is>
          <t>High</t>
        </is>
      </c>
      <c r="L127" t="inlineStr">
        <is>
          <t>&gt;= 0</t>
        </is>
      </c>
      <c r="M127" t="inlineStr">
        <is>
          <t>Source taxes</t>
        </is>
      </c>
      <c r="N127" t="inlineStr">
        <is>
          <t>Not Started</t>
        </is>
      </c>
    </row>
    <row r="128">
      <c r="A128" t="inlineStr">
        <is>
          <t>S3-037</t>
        </is>
      </c>
      <c r="B128" t="inlineStr">
        <is>
          <t>Section 3</t>
        </is>
      </c>
      <c r="C128" t="inlineStr">
        <is>
          <t>3.3 Covered Taxes</t>
        </is>
      </c>
      <c r="D128" t="inlineStr">
        <is>
          <t>TaxesOnExcludedIncome</t>
        </is>
      </c>
      <c r="E128" t="inlineStr">
        <is>
          <t>Taxes on excluded income</t>
        </is>
      </c>
      <c r="F128" t="inlineStr">
        <is>
          <t>Decimal</t>
        </is>
      </c>
      <c r="G128" t="inlineStr">
        <is>
          <t>Yes</t>
        </is>
      </c>
      <c r="H128" t="inlineStr">
        <is>
          <t>GIR/GloBEComputation/CoveredTaxes/ExclIncome</t>
        </is>
      </c>
      <c r="I128" t="inlineStr">
        <is>
          <t>GIR Calculation</t>
        </is>
      </c>
      <c r="J128" t="inlineStr">
        <is>
          <t>Group Tax</t>
        </is>
      </c>
      <c r="K128" t="inlineStr">
        <is>
          <t>High</t>
        </is>
      </c>
      <c r="L128" t="inlineStr">
        <is>
          <t>Any value</t>
        </is>
      </c>
      <c r="M128" t="inlineStr">
        <is>
          <t>To be removed</t>
        </is>
      </c>
      <c r="N128" t="inlineStr">
        <is>
          <t>Not Started</t>
        </is>
      </c>
    </row>
    <row r="129">
      <c r="A129" t="inlineStr">
        <is>
          <t>S3-038</t>
        </is>
      </c>
      <c r="B129" t="inlineStr">
        <is>
          <t>Section 3</t>
        </is>
      </c>
      <c r="C129" t="inlineStr">
        <is>
          <t>3.3 Covered Taxes</t>
        </is>
      </c>
      <c r="D129" t="inlineStr">
        <is>
          <t>TaxesOnUncertainPositions</t>
        </is>
      </c>
      <c r="E129" t="inlineStr">
        <is>
          <t>Uncertain tax position taxes</t>
        </is>
      </c>
      <c r="F129" t="inlineStr">
        <is>
          <t>Decimal</t>
        </is>
      </c>
      <c r="G129" t="inlineStr">
        <is>
          <t>Yes</t>
        </is>
      </c>
      <c r="H129" t="inlineStr">
        <is>
          <t>GIR/GloBEComputation/CoveredTaxes/UTP</t>
        </is>
      </c>
      <c r="I129" t="inlineStr">
        <is>
          <t>Tax Provision</t>
        </is>
      </c>
      <c r="J129" t="inlineStr">
        <is>
          <t>Local Tax</t>
        </is>
      </c>
      <c r="K129" t="inlineStr">
        <is>
          <t>High</t>
        </is>
      </c>
      <c r="L129" t="inlineStr">
        <is>
          <t>Any value</t>
        </is>
      </c>
      <c r="M129" t="inlineStr">
        <is>
          <t>If recognized</t>
        </is>
      </c>
      <c r="N129" t="inlineStr">
        <is>
          <t>Not Started</t>
        </is>
      </c>
    </row>
    <row r="130">
      <c r="A130" t="inlineStr">
        <is>
          <t>S3-039</t>
        </is>
      </c>
      <c r="B130" t="inlineStr">
        <is>
          <t>Section 3</t>
        </is>
      </c>
      <c r="C130" t="inlineStr">
        <is>
          <t>3.3 Covered Taxes</t>
        </is>
      </c>
      <c r="D130" t="inlineStr">
        <is>
          <t>TaxCreditsNotQRTC</t>
        </is>
      </c>
      <c r="E130" t="inlineStr">
        <is>
          <t>Non-QRTC tax credits</t>
        </is>
      </c>
      <c r="F130" t="inlineStr">
        <is>
          <t>Decimal</t>
        </is>
      </c>
      <c r="G130" t="inlineStr">
        <is>
          <t>Yes</t>
        </is>
      </c>
      <c r="H130" t="inlineStr">
        <is>
          <t>GIR/GloBEComputation/CoveredTaxes/NonQRTC</t>
        </is>
      </c>
      <c r="I130" t="inlineStr">
        <is>
          <t>Tax Provision</t>
        </is>
      </c>
      <c r="J130" t="inlineStr">
        <is>
          <t>Local Tax</t>
        </is>
      </c>
      <c r="K130" t="inlineStr">
        <is>
          <t>High</t>
        </is>
      </c>
      <c r="L130" t="inlineStr">
        <is>
          <t>&gt;= 0</t>
        </is>
      </c>
      <c r="M130" t="inlineStr">
        <is>
          <t>Reduce covered taxes</t>
        </is>
      </c>
      <c r="N130" t="inlineStr">
        <is>
          <t>Not Started</t>
        </is>
      </c>
    </row>
    <row r="131">
      <c r="A131" t="inlineStr">
        <is>
          <t>S3-040</t>
        </is>
      </c>
      <c r="B131" t="inlineStr">
        <is>
          <t>Section 3</t>
        </is>
      </c>
      <c r="C131" t="inlineStr">
        <is>
          <t>3.3 Covered Taxes</t>
        </is>
      </c>
      <c r="D131" t="inlineStr">
        <is>
          <t>NonCoveredTaxesExcluded</t>
        </is>
      </c>
      <c r="E131" t="inlineStr">
        <is>
          <t>Taxes not meeting covered tax criteria</t>
        </is>
      </c>
      <c r="F131" t="inlineStr">
        <is>
          <t>Decimal</t>
        </is>
      </c>
      <c r="G131" t="inlineStr">
        <is>
          <t>Yes</t>
        </is>
      </c>
      <c r="H131" t="inlineStr">
        <is>
          <t>GIR/GloBEComputation/CoveredTaxes/NonCovered</t>
        </is>
      </c>
      <c r="I131" t="inlineStr">
        <is>
          <t>GIR Calculation</t>
        </is>
      </c>
      <c r="J131" t="inlineStr">
        <is>
          <t>Group Tax</t>
        </is>
      </c>
      <c r="K131" t="inlineStr">
        <is>
          <t>High</t>
        </is>
      </c>
      <c r="L131" t="inlineStr">
        <is>
          <t>&gt;= 0</t>
        </is>
      </c>
      <c r="M131" t="inlineStr">
        <is>
          <t>E.g. non-income taxes</t>
        </is>
      </c>
      <c r="N131" t="inlineStr">
        <is>
          <t>Not Started</t>
        </is>
      </c>
    </row>
    <row r="132">
      <c r="A132" t="inlineStr">
        <is>
          <t>S3-041</t>
        </is>
      </c>
      <c r="B132" t="inlineStr">
        <is>
          <t>Section 3</t>
        </is>
      </c>
      <c r="C132" t="inlineStr">
        <is>
          <t>3.3 Covered Taxes</t>
        </is>
      </c>
      <c r="D132" t="inlineStr">
        <is>
          <t>AdjustedCoveredTaxes</t>
        </is>
      </c>
      <c r="E132" t="inlineStr">
        <is>
          <t>Total Adjusted Covered Taxes</t>
        </is>
      </c>
      <c r="F132" t="inlineStr">
        <is>
          <t>Decimal</t>
        </is>
      </c>
      <c r="G132" t="inlineStr">
        <is>
          <t>Yes</t>
        </is>
      </c>
      <c r="H132" t="inlineStr">
        <is>
          <t>GIR/GloBEComputation/CoveredTaxes/Adjusted</t>
        </is>
      </c>
      <c r="I132" t="inlineStr">
        <is>
          <t>GIR Calculation</t>
        </is>
      </c>
      <c r="J132" t="inlineStr">
        <is>
          <t>Group Tax</t>
        </is>
      </c>
      <c r="K132" t="inlineStr">
        <is>
          <t>Critical</t>
        </is>
      </c>
      <c r="L132" t="inlineStr">
        <is>
          <t>Any value</t>
        </is>
      </c>
      <c r="M132" t="inlineStr">
        <is>
          <t>For ETR numerator</t>
        </is>
      </c>
      <c r="N132" t="inlineStr">
        <is>
          <t>Not Started</t>
        </is>
      </c>
    </row>
    <row r="133">
      <c r="A133" t="inlineStr">
        <is>
          <t>S3-042</t>
        </is>
      </c>
      <c r="B133" t="inlineStr">
        <is>
          <t>Section 3</t>
        </is>
      </c>
      <c r="C133" t="inlineStr">
        <is>
          <t>3.4 Deferred Tax</t>
        </is>
      </c>
      <c r="D133" t="inlineStr">
        <is>
          <t>DTLOpeningBalance</t>
        </is>
      </c>
      <c r="E133" t="inlineStr">
        <is>
          <t>Opening DTL balance</t>
        </is>
      </c>
      <c r="F133" t="inlineStr">
        <is>
          <t>Decimal</t>
        </is>
      </c>
      <c r="G133" t="inlineStr">
        <is>
          <t>Yes</t>
        </is>
      </c>
      <c r="H133" t="inlineStr">
        <is>
          <t>GIR/GloBEComputation/DeferredTax/DTLOpening</t>
        </is>
      </c>
      <c r="I133" t="inlineStr">
        <is>
          <t>Tax Provision</t>
        </is>
      </c>
      <c r="J133" t="inlineStr">
        <is>
          <t>Local Tax</t>
        </is>
      </c>
      <c r="K133" t="inlineStr">
        <is>
          <t>High</t>
        </is>
      </c>
      <c r="L133" t="inlineStr">
        <is>
          <t>Any value</t>
        </is>
      </c>
      <c r="M133" t="inlineStr">
        <is>
          <t>Prior year end</t>
        </is>
      </c>
      <c r="N133" t="inlineStr">
        <is>
          <t>Not Started</t>
        </is>
      </c>
    </row>
    <row r="134">
      <c r="A134" t="inlineStr">
        <is>
          <t>S3-043</t>
        </is>
      </c>
      <c r="B134" t="inlineStr">
        <is>
          <t>Section 3</t>
        </is>
      </c>
      <c r="C134" t="inlineStr">
        <is>
          <t>3.4 Deferred Tax</t>
        </is>
      </c>
      <c r="D134" t="inlineStr">
        <is>
          <t>DTAOpeningBalance</t>
        </is>
      </c>
      <c r="E134" t="inlineStr">
        <is>
          <t>Opening DTA balance</t>
        </is>
      </c>
      <c r="F134" t="inlineStr">
        <is>
          <t>Decimal</t>
        </is>
      </c>
      <c r="G134" t="inlineStr">
        <is>
          <t>Yes</t>
        </is>
      </c>
      <c r="H134" t="inlineStr">
        <is>
          <t>GIR/GloBEComputation/DeferredTax/DTAOpening</t>
        </is>
      </c>
      <c r="I134" t="inlineStr">
        <is>
          <t>Tax Provision</t>
        </is>
      </c>
      <c r="J134" t="inlineStr">
        <is>
          <t>Local Tax</t>
        </is>
      </c>
      <c r="K134" t="inlineStr">
        <is>
          <t>High</t>
        </is>
      </c>
      <c r="L134" t="inlineStr">
        <is>
          <t>Any value</t>
        </is>
      </c>
      <c r="M134" t="inlineStr">
        <is>
          <t>Prior year end</t>
        </is>
      </c>
      <c r="N134" t="inlineStr">
        <is>
          <t>Not Started</t>
        </is>
      </c>
    </row>
    <row r="135">
      <c r="A135" t="inlineStr">
        <is>
          <t>S3-044</t>
        </is>
      </c>
      <c r="B135" t="inlineStr">
        <is>
          <t>Section 3</t>
        </is>
      </c>
      <c r="C135" t="inlineStr">
        <is>
          <t>3.4 Deferred Tax</t>
        </is>
      </c>
      <c r="D135" t="inlineStr">
        <is>
          <t>DTLMovementInYear</t>
        </is>
      </c>
      <c r="E135" t="inlineStr">
        <is>
          <t>DTL movements in year</t>
        </is>
      </c>
      <c r="F135" t="inlineStr">
        <is>
          <t>Decimal</t>
        </is>
      </c>
      <c r="G135" t="inlineStr">
        <is>
          <t>Yes</t>
        </is>
      </c>
      <c r="H135" t="inlineStr">
        <is>
          <t>GIR/GloBEComputation/DeferredTax/DTLMovement</t>
        </is>
      </c>
      <c r="I135" t="inlineStr">
        <is>
          <t>Tax Provision</t>
        </is>
      </c>
      <c r="J135" t="inlineStr">
        <is>
          <t>Local Tax</t>
        </is>
      </c>
      <c r="K135" t="inlineStr">
        <is>
          <t>High</t>
        </is>
      </c>
      <c r="L135" t="inlineStr">
        <is>
          <t>Any value</t>
        </is>
      </c>
      <c r="M135" t="inlineStr">
        <is>
          <t>Increase/decrease</t>
        </is>
      </c>
      <c r="N135" t="inlineStr">
        <is>
          <t>Not Started</t>
        </is>
      </c>
    </row>
    <row r="136">
      <c r="A136" t="inlineStr">
        <is>
          <t>S3-045</t>
        </is>
      </c>
      <c r="B136" t="inlineStr">
        <is>
          <t>Section 3</t>
        </is>
      </c>
      <c r="C136" t="inlineStr">
        <is>
          <t>3.4 Deferred Tax</t>
        </is>
      </c>
      <c r="D136" t="inlineStr">
        <is>
          <t>DTAMovementInYear</t>
        </is>
      </c>
      <c r="E136" t="inlineStr">
        <is>
          <t>DTA movements in year</t>
        </is>
      </c>
      <c r="F136" t="inlineStr">
        <is>
          <t>Decimal</t>
        </is>
      </c>
      <c r="G136" t="inlineStr">
        <is>
          <t>Yes</t>
        </is>
      </c>
      <c r="H136" t="inlineStr">
        <is>
          <t>GIR/GloBEComputation/DeferredTax/DTAMovement</t>
        </is>
      </c>
      <c r="I136" t="inlineStr">
        <is>
          <t>Tax Provision</t>
        </is>
      </c>
      <c r="J136" t="inlineStr">
        <is>
          <t>Local Tax</t>
        </is>
      </c>
      <c r="K136" t="inlineStr">
        <is>
          <t>High</t>
        </is>
      </c>
      <c r="L136" t="inlineStr">
        <is>
          <t>Any value</t>
        </is>
      </c>
      <c r="M136" t="inlineStr">
        <is>
          <t>Increase/decrease</t>
        </is>
      </c>
      <c r="N136" t="inlineStr">
        <is>
          <t>Not Started</t>
        </is>
      </c>
    </row>
    <row r="137">
      <c r="A137" t="inlineStr">
        <is>
          <t>S3-046</t>
        </is>
      </c>
      <c r="B137" t="inlineStr">
        <is>
          <t>Section 3</t>
        </is>
      </c>
      <c r="C137" t="inlineStr">
        <is>
          <t>3.4 Deferred Tax</t>
        </is>
      </c>
      <c r="D137" t="inlineStr">
        <is>
          <t>DTLClosingBalance</t>
        </is>
      </c>
      <c r="E137" t="inlineStr">
        <is>
          <t>Closing DTL balance</t>
        </is>
      </c>
      <c r="F137" t="inlineStr">
        <is>
          <t>Decimal</t>
        </is>
      </c>
      <c r="G137" t="inlineStr">
        <is>
          <t>Yes</t>
        </is>
      </c>
      <c r="H137" t="inlineStr">
        <is>
          <t>GIR/GloBEComputation/DeferredTax/DTLClosing</t>
        </is>
      </c>
      <c r="I137" t="inlineStr">
        <is>
          <t>Tax Provision</t>
        </is>
      </c>
      <c r="J137" t="inlineStr">
        <is>
          <t>Local Tax</t>
        </is>
      </c>
      <c r="K137" t="inlineStr">
        <is>
          <t>High</t>
        </is>
      </c>
      <c r="L137" t="inlineStr">
        <is>
          <t>Any value</t>
        </is>
      </c>
      <c r="M137" t="inlineStr">
        <is>
          <t>Current year end</t>
        </is>
      </c>
      <c r="N137" t="inlineStr">
        <is>
          <t>Not Started</t>
        </is>
      </c>
    </row>
    <row r="138">
      <c r="A138" t="inlineStr">
        <is>
          <t>S3-047</t>
        </is>
      </c>
      <c r="B138" t="inlineStr">
        <is>
          <t>Section 3</t>
        </is>
      </c>
      <c r="C138" t="inlineStr">
        <is>
          <t>3.4 Deferred Tax</t>
        </is>
      </c>
      <c r="D138" t="inlineStr">
        <is>
          <t>DTAClosingBalance</t>
        </is>
      </c>
      <c r="E138" t="inlineStr">
        <is>
          <t>Closing DTA balance</t>
        </is>
      </c>
      <c r="F138" t="inlineStr">
        <is>
          <t>Decimal</t>
        </is>
      </c>
      <c r="G138" t="inlineStr">
        <is>
          <t>Yes</t>
        </is>
      </c>
      <c r="H138" t="inlineStr">
        <is>
          <t>GIR/GloBEComputation/DeferredTax/DTAClosing</t>
        </is>
      </c>
      <c r="I138" t="inlineStr">
        <is>
          <t>Tax Provision</t>
        </is>
      </c>
      <c r="J138" t="inlineStr">
        <is>
          <t>Local Tax</t>
        </is>
      </c>
      <c r="K138" t="inlineStr">
        <is>
          <t>High</t>
        </is>
      </c>
      <c r="L138" t="inlineStr">
        <is>
          <t>Any value</t>
        </is>
      </c>
      <c r="M138" t="inlineStr">
        <is>
          <t>Current year end</t>
        </is>
      </c>
      <c r="N138" t="inlineStr">
        <is>
          <t>Not Started</t>
        </is>
      </c>
    </row>
    <row r="139">
      <c r="A139" t="inlineStr">
        <is>
          <t>S3-048</t>
        </is>
      </c>
      <c r="B139" t="inlineStr">
        <is>
          <t>Section 3</t>
        </is>
      </c>
      <c r="C139" t="inlineStr">
        <is>
          <t>3.4 Deferred Tax</t>
        </is>
      </c>
      <c r="D139" t="inlineStr">
        <is>
          <t>RecapturedDTL</t>
        </is>
      </c>
      <c r="E139" t="inlineStr">
        <is>
          <t>DTL recapture amount</t>
        </is>
      </c>
      <c r="F139" t="inlineStr">
        <is>
          <t>Decimal</t>
        </is>
      </c>
      <c r="G139" t="inlineStr">
        <is>
          <t>Yes</t>
        </is>
      </c>
      <c r="H139" t="inlineStr">
        <is>
          <t>GIR/GloBEComputation/DeferredTax/Recapture</t>
        </is>
      </c>
      <c r="I139" t="inlineStr">
        <is>
          <t>GIR Calculation</t>
        </is>
      </c>
      <c r="J139" t="inlineStr">
        <is>
          <t>Group Tax</t>
        </is>
      </c>
      <c r="K139" t="inlineStr">
        <is>
          <t>Critical</t>
        </is>
      </c>
      <c r="L139" t="inlineStr">
        <is>
          <t>&gt;= 0</t>
        </is>
      </c>
      <c r="M139" t="inlineStr">
        <is>
          <t>5-year tracking</t>
        </is>
      </c>
      <c r="N139" t="inlineStr">
        <is>
          <t>Not Started</t>
        </is>
      </c>
    </row>
    <row r="140">
      <c r="A140" t="inlineStr">
        <is>
          <t>S3-049</t>
        </is>
      </c>
      <c r="B140" t="inlineStr">
        <is>
          <t>Section 3</t>
        </is>
      </c>
      <c r="C140" t="inlineStr">
        <is>
          <t>3.4 Deferred Tax</t>
        </is>
      </c>
      <c r="D140" t="inlineStr">
        <is>
          <t>DTLRecaptureYear</t>
        </is>
      </c>
      <c r="E140" t="inlineStr">
        <is>
          <t>Year of original DTL recognition</t>
        </is>
      </c>
      <c r="F140" t="inlineStr">
        <is>
          <t>Integer</t>
        </is>
      </c>
      <c r="G140" t="inlineStr">
        <is>
          <t>Conditional</t>
        </is>
      </c>
      <c r="H140" t="inlineStr">
        <is>
          <t>GIR/GloBEComputation/DeferredTax/RecaptureYear</t>
        </is>
      </c>
      <c r="I140" t="inlineStr">
        <is>
          <t>GIR Calculation</t>
        </is>
      </c>
      <c r="J140" t="inlineStr">
        <is>
          <t>Group Tax</t>
        </is>
      </c>
      <c r="K140" t="inlineStr">
        <is>
          <t>High</t>
        </is>
      </c>
      <c r="L140" t="inlineStr">
        <is>
          <t>Valid year</t>
        </is>
      </c>
      <c r="M140" t="inlineStr">
        <is>
          <t>If recapture</t>
        </is>
      </c>
      <c r="N140" t="inlineStr">
        <is>
          <t>Not Started</t>
        </is>
      </c>
    </row>
    <row r="141">
      <c r="A141" t="inlineStr">
        <is>
          <t>S3-050</t>
        </is>
      </c>
      <c r="B141" t="inlineStr">
        <is>
          <t>Section 3</t>
        </is>
      </c>
      <c r="C141" t="inlineStr">
        <is>
          <t>3.4 Deferred Tax</t>
        </is>
      </c>
      <c r="D141" t="inlineStr">
        <is>
          <t>DTLRecaptureReason</t>
        </is>
      </c>
      <c r="E141" t="inlineStr">
        <is>
          <t>Reason for DTL recapture</t>
        </is>
      </c>
      <c r="F141" t="inlineStr">
        <is>
          <t>Enumeration</t>
        </is>
      </c>
      <c r="G141" t="inlineStr">
        <is>
          <t>Conditional</t>
        </is>
      </c>
      <c r="H141" t="inlineStr">
        <is>
          <t>GIR/GloBEComputation/DeferredTax/RecaptureReason</t>
        </is>
      </c>
      <c r="I141" t="inlineStr">
        <is>
          <t>GIR Calculation</t>
        </is>
      </c>
      <c r="J141" t="inlineStr">
        <is>
          <t>Group Tax</t>
        </is>
      </c>
      <c r="K141" t="inlineStr">
        <is>
          <t>High</t>
        </is>
      </c>
      <c r="L141" t="inlineStr">
        <is>
          <t>Disposal/Write-off/Other</t>
        </is>
      </c>
      <c r="M141" t="inlineStr">
        <is>
          <t>Documentation</t>
        </is>
      </c>
      <c r="N141" t="inlineStr">
        <is>
          <t>Not Started</t>
        </is>
      </c>
    </row>
    <row r="142">
      <c r="A142" t="inlineStr">
        <is>
          <t>S3-051</t>
        </is>
      </c>
      <c r="B142" t="inlineStr">
        <is>
          <t>Section 3</t>
        </is>
      </c>
      <c r="C142" t="inlineStr">
        <is>
          <t>3.4 Deferred Tax</t>
        </is>
      </c>
      <c r="D142" t="inlineStr">
        <is>
          <t>DTARateAdjustment</t>
        </is>
      </c>
      <c r="E142" t="inlineStr">
        <is>
          <t>DTA rate adjustment to 15%</t>
        </is>
      </c>
      <c r="F142" t="inlineStr">
        <is>
          <t>Decimal</t>
        </is>
      </c>
      <c r="G142" t="inlineStr">
        <is>
          <t>Yes</t>
        </is>
      </c>
      <c r="H142" t="inlineStr">
        <is>
          <t>GIR/GloBEComputation/DeferredTax/DTARateAdj</t>
        </is>
      </c>
      <c r="I142" t="inlineStr">
        <is>
          <t>GIR Calculation</t>
        </is>
      </c>
      <c r="J142" t="inlineStr">
        <is>
          <t>Group Tax</t>
        </is>
      </c>
      <c r="K142" t="inlineStr">
        <is>
          <t>High</t>
        </is>
      </c>
      <c r="L142" t="inlineStr">
        <is>
          <t>Any value</t>
        </is>
      </c>
      <c r="M142" t="inlineStr">
        <is>
          <t>Cap at 15%</t>
        </is>
      </c>
      <c r="N142" t="inlineStr">
        <is>
          <t>Not Started</t>
        </is>
      </c>
    </row>
    <row r="143">
      <c r="A143" t="inlineStr">
        <is>
          <t>S3-052</t>
        </is>
      </c>
      <c r="B143" t="inlineStr">
        <is>
          <t>Section 3</t>
        </is>
      </c>
      <c r="C143" t="inlineStr">
        <is>
          <t>3.4 Deferred Tax</t>
        </is>
      </c>
      <c r="D143" t="inlineStr">
        <is>
          <t>DTLRateAdjustment</t>
        </is>
      </c>
      <c r="E143" t="inlineStr">
        <is>
          <t>DTL rate adjustment to 15%</t>
        </is>
      </c>
      <c r="F143" t="inlineStr">
        <is>
          <t>Decimal</t>
        </is>
      </c>
      <c r="G143" t="inlineStr">
        <is>
          <t>Yes</t>
        </is>
      </c>
      <c r="H143" t="inlineStr">
        <is>
          <t>GIR/GloBEComputation/DeferredTax/DTLRateAdj</t>
        </is>
      </c>
      <c r="I143" t="inlineStr">
        <is>
          <t>GIR Calculation</t>
        </is>
      </c>
      <c r="J143" t="inlineStr">
        <is>
          <t>Group Tax</t>
        </is>
      </c>
      <c r="K143" t="inlineStr">
        <is>
          <t>High</t>
        </is>
      </c>
      <c r="L143" t="inlineStr">
        <is>
          <t>Any value</t>
        </is>
      </c>
      <c r="M143" t="inlineStr">
        <is>
          <t>Cap at 15%</t>
        </is>
      </c>
      <c r="N143" t="inlineStr">
        <is>
          <t>Not Started</t>
        </is>
      </c>
    </row>
    <row r="144">
      <c r="A144" t="inlineStr">
        <is>
          <t>S3-053</t>
        </is>
      </c>
      <c r="B144" t="inlineStr">
        <is>
          <t>Section 3</t>
        </is>
      </c>
      <c r="C144" t="inlineStr">
        <is>
          <t>3.4 Deferred Tax</t>
        </is>
      </c>
      <c r="D144" t="inlineStr">
        <is>
          <t>ValuationAllowanceAdj</t>
        </is>
      </c>
      <c r="E144" t="inlineStr">
        <is>
          <t>Valuation allowance adjustment</t>
        </is>
      </c>
      <c r="F144" t="inlineStr">
        <is>
          <t>Decimal</t>
        </is>
      </c>
      <c r="G144" t="inlineStr">
        <is>
          <t>Yes</t>
        </is>
      </c>
      <c r="H144" t="inlineStr">
        <is>
          <t>GIR/GloBEComputation/DeferredTax/ValuationAdj</t>
        </is>
      </c>
      <c r="I144" t="inlineStr">
        <is>
          <t>GIR Calculation</t>
        </is>
      </c>
      <c r="J144" t="inlineStr">
        <is>
          <t>Group Tax</t>
        </is>
      </c>
      <c r="K144" t="inlineStr">
        <is>
          <t>Medium</t>
        </is>
      </c>
      <c r="L144" t="inlineStr">
        <is>
          <t>Any value</t>
        </is>
      </c>
      <c r="M144" t="inlineStr">
        <is>
          <t>If applicable</t>
        </is>
      </c>
      <c r="N144" t="inlineStr">
        <is>
          <t>Not Started</t>
        </is>
      </c>
    </row>
    <row r="145">
      <c r="A145" t="inlineStr">
        <is>
          <t>S3-054</t>
        </is>
      </c>
      <c r="B145" t="inlineStr">
        <is>
          <t>Section 3</t>
        </is>
      </c>
      <c r="C145" t="inlineStr">
        <is>
          <t>3.4 Deferred Tax</t>
        </is>
      </c>
      <c r="D145" t="inlineStr">
        <is>
          <t>TotalDTAAdjustment</t>
        </is>
      </c>
      <c r="E145" t="inlineStr">
        <is>
          <t>Total DTA for Covered Taxes</t>
        </is>
      </c>
      <c r="F145" t="inlineStr">
        <is>
          <t>Decimal</t>
        </is>
      </c>
      <c r="G145" t="inlineStr">
        <is>
          <t>Yes</t>
        </is>
      </c>
      <c r="H145" t="inlineStr">
        <is>
          <t>GIR/GloBEComputation/DeferredTax/TotalDTA</t>
        </is>
      </c>
      <c r="I145" t="inlineStr">
        <is>
          <t>GIR Calculation</t>
        </is>
      </c>
      <c r="J145" t="inlineStr">
        <is>
          <t>Group Tax</t>
        </is>
      </c>
      <c r="K145" t="inlineStr">
        <is>
          <t>Critical</t>
        </is>
      </c>
      <c r="L145" t="inlineStr">
        <is>
          <t>Any value</t>
        </is>
      </c>
      <c r="M145" t="inlineStr">
        <is>
          <t>Adjusted amount</t>
        </is>
      </c>
      <c r="N145" t="inlineStr">
        <is>
          <t>Not Started</t>
        </is>
      </c>
    </row>
    <row r="146">
      <c r="A146" t="inlineStr">
        <is>
          <t>S3-055</t>
        </is>
      </c>
      <c r="B146" t="inlineStr">
        <is>
          <t>Section 3</t>
        </is>
      </c>
      <c r="C146" t="inlineStr">
        <is>
          <t>3.4 Deferred Tax</t>
        </is>
      </c>
      <c r="D146" t="inlineStr">
        <is>
          <t>TotalDTLAdjustment</t>
        </is>
      </c>
      <c r="E146" t="inlineStr">
        <is>
          <t>Total DTL for Covered Taxes</t>
        </is>
      </c>
      <c r="F146" t="inlineStr">
        <is>
          <t>Decimal</t>
        </is>
      </c>
      <c r="G146" t="inlineStr">
        <is>
          <t>Yes</t>
        </is>
      </c>
      <c r="H146" t="inlineStr">
        <is>
          <t>GIR/GloBEComputation/DeferredTax/TotalDTL</t>
        </is>
      </c>
      <c r="I146" t="inlineStr">
        <is>
          <t>GIR Calculation</t>
        </is>
      </c>
      <c r="J146" t="inlineStr">
        <is>
          <t>Group Tax</t>
        </is>
      </c>
      <c r="K146" t="inlineStr">
        <is>
          <t>Critical</t>
        </is>
      </c>
      <c r="L146" t="inlineStr">
        <is>
          <t>Any value</t>
        </is>
      </c>
      <c r="M146" t="inlineStr">
        <is>
          <t>Adjusted amount</t>
        </is>
      </c>
      <c r="N146" t="inlineStr">
        <is>
          <t>Not Started</t>
        </is>
      </c>
    </row>
    <row r="147">
      <c r="A147" t="inlineStr">
        <is>
          <t>S3-056</t>
        </is>
      </c>
      <c r="B147" t="inlineStr">
        <is>
          <t>Section 3</t>
        </is>
      </c>
      <c r="C147" t="inlineStr">
        <is>
          <t>3.5 DTL Tracking</t>
        </is>
      </c>
      <c r="D147" t="inlineStr">
        <is>
          <t>DTLItemDescription</t>
        </is>
      </c>
      <c r="E147" t="inlineStr">
        <is>
          <t>Description of DTL item</t>
        </is>
      </c>
      <c r="F147" t="inlineStr">
        <is>
          <t>String</t>
        </is>
      </c>
      <c r="G147" t="inlineStr">
        <is>
          <t>Yes</t>
        </is>
      </c>
      <c r="H147" t="inlineStr">
        <is>
          <t>GIR/GloBEComputation/DTLTracking/Description</t>
        </is>
      </c>
      <c r="I147" t="inlineStr">
        <is>
          <t>Tax Provision</t>
        </is>
      </c>
      <c r="J147" t="inlineStr">
        <is>
          <t>Local Tax</t>
        </is>
      </c>
      <c r="K147" t="inlineStr">
        <is>
          <t>High</t>
        </is>
      </c>
      <c r="L147" t="inlineStr">
        <is>
          <t>Non-empty string</t>
        </is>
      </c>
      <c r="M147" t="inlineStr">
        <is>
          <t>Per item row</t>
        </is>
      </c>
      <c r="N147" t="inlineStr">
        <is>
          <t>Not Started</t>
        </is>
      </c>
    </row>
    <row r="148">
      <c r="A148" t="inlineStr">
        <is>
          <t>S3-057</t>
        </is>
      </c>
      <c r="B148" t="inlineStr">
        <is>
          <t>Section 3</t>
        </is>
      </c>
      <c r="C148" t="inlineStr">
        <is>
          <t>3.5 DTL Tracking</t>
        </is>
      </c>
      <c r="D148" t="inlineStr">
        <is>
          <t>DTLItemOriginYear</t>
        </is>
      </c>
      <c r="E148" t="inlineStr">
        <is>
          <t>Year DTL item originated</t>
        </is>
      </c>
      <c r="F148" t="inlineStr">
        <is>
          <t>Integer</t>
        </is>
      </c>
      <c r="G148" t="inlineStr">
        <is>
          <t>Yes</t>
        </is>
      </c>
      <c r="H148" t="inlineStr">
        <is>
          <t>GIR/GloBEComputation/DTLTracking/OriginYear</t>
        </is>
      </c>
      <c r="I148" t="inlineStr">
        <is>
          <t>Tax Provision</t>
        </is>
      </c>
      <c r="J148" t="inlineStr">
        <is>
          <t>Local Tax</t>
        </is>
      </c>
      <c r="K148" t="inlineStr">
        <is>
          <t>High</t>
        </is>
      </c>
      <c r="L148" t="inlineStr">
        <is>
          <t>Valid fiscal year</t>
        </is>
      </c>
      <c r="M148" t="inlineStr">
        <is>
          <t>For 5-year rule</t>
        </is>
      </c>
      <c r="N148" t="inlineStr">
        <is>
          <t>Not Started</t>
        </is>
      </c>
    </row>
    <row r="149">
      <c r="A149" t="inlineStr">
        <is>
          <t>S3-058</t>
        </is>
      </c>
      <c r="B149" t="inlineStr">
        <is>
          <t>Section 3</t>
        </is>
      </c>
      <c r="C149" t="inlineStr">
        <is>
          <t>3.5 DTL Tracking</t>
        </is>
      </c>
      <c r="D149" t="inlineStr">
        <is>
          <t>DTLItemOriginalAmount</t>
        </is>
      </c>
      <c r="E149" t="inlineStr">
        <is>
          <t>Original DTL amount</t>
        </is>
      </c>
      <c r="F149" t="inlineStr">
        <is>
          <t>Decimal</t>
        </is>
      </c>
      <c r="G149" t="inlineStr">
        <is>
          <t>Yes</t>
        </is>
      </c>
      <c r="H149" t="inlineStr">
        <is>
          <t>GIR/GloBEComputation/DTLTracking/OriginalAmt</t>
        </is>
      </c>
      <c r="I149" t="inlineStr">
        <is>
          <t>Tax Provision</t>
        </is>
      </c>
      <c r="J149" t="inlineStr">
        <is>
          <t>Local Tax</t>
        </is>
      </c>
      <c r="K149" t="inlineStr">
        <is>
          <t>High</t>
        </is>
      </c>
      <c r="L149" t="inlineStr">
        <is>
          <t>&gt;= 0</t>
        </is>
      </c>
      <c r="M149" t="inlineStr">
        <is>
          <t>When recognized</t>
        </is>
      </c>
      <c r="N149" t="inlineStr">
        <is>
          <t>Not Started</t>
        </is>
      </c>
    </row>
    <row r="150">
      <c r="A150" t="inlineStr">
        <is>
          <t>S3-059</t>
        </is>
      </c>
      <c r="B150" t="inlineStr">
        <is>
          <t>Section 3</t>
        </is>
      </c>
      <c r="C150" t="inlineStr">
        <is>
          <t>3.5 DTL Tracking</t>
        </is>
      </c>
      <c r="D150" t="inlineStr">
        <is>
          <t>DTLItemCurrentBalance</t>
        </is>
      </c>
      <c r="E150" t="inlineStr">
        <is>
          <t>Current DTL balance</t>
        </is>
      </c>
      <c r="F150" t="inlineStr">
        <is>
          <t>Decimal</t>
        </is>
      </c>
      <c r="G150" t="inlineStr">
        <is>
          <t>Yes</t>
        </is>
      </c>
      <c r="H150" t="inlineStr">
        <is>
          <t>GIR/GloBEComputation/DTLTracking/CurrentBal</t>
        </is>
      </c>
      <c r="I150" t="inlineStr">
        <is>
          <t>Tax Provision</t>
        </is>
      </c>
      <c r="J150" t="inlineStr">
        <is>
          <t>Local Tax</t>
        </is>
      </c>
      <c r="K150" t="inlineStr">
        <is>
          <t>High</t>
        </is>
      </c>
      <c r="L150" t="inlineStr">
        <is>
          <t>&gt;= 0</t>
        </is>
      </c>
      <c r="M150" t="inlineStr">
        <is>
          <t>End of period</t>
        </is>
      </c>
      <c r="N150" t="inlineStr">
        <is>
          <t>Not Started</t>
        </is>
      </c>
    </row>
    <row r="151">
      <c r="A151" t="inlineStr">
        <is>
          <t>S3-060</t>
        </is>
      </c>
      <c r="B151" t="inlineStr">
        <is>
          <t>Section 3</t>
        </is>
      </c>
      <c r="C151" t="inlineStr">
        <is>
          <t>3.5 DTL Tracking</t>
        </is>
      </c>
      <c r="D151" t="inlineStr">
        <is>
          <t>DTLItemReversedAmount</t>
        </is>
      </c>
      <c r="E151" t="inlineStr">
        <is>
          <t>Amount reversed in year</t>
        </is>
      </c>
      <c r="F151" t="inlineStr">
        <is>
          <t>Decimal</t>
        </is>
      </c>
      <c r="G151" t="inlineStr">
        <is>
          <t>Yes</t>
        </is>
      </c>
      <c r="H151" t="inlineStr">
        <is>
          <t>GIR/GloBEComputation/DTLTracking/Reversed</t>
        </is>
      </c>
      <c r="I151" t="inlineStr">
        <is>
          <t>GIR Calculation</t>
        </is>
      </c>
      <c r="J151" t="inlineStr">
        <is>
          <t>Group Tax</t>
        </is>
      </c>
      <c r="K151" t="inlineStr">
        <is>
          <t>High</t>
        </is>
      </c>
      <c r="L151" t="inlineStr">
        <is>
          <t>&gt;= 0</t>
        </is>
      </c>
      <c r="M151" t="inlineStr">
        <is>
          <t>Monitoring</t>
        </is>
      </c>
      <c r="N151" t="inlineStr">
        <is>
          <t>Not Started</t>
        </is>
      </c>
    </row>
    <row r="152">
      <c r="A152" t="inlineStr">
        <is>
          <t>S3-061</t>
        </is>
      </c>
      <c r="B152" t="inlineStr">
        <is>
          <t>Section 3</t>
        </is>
      </c>
      <c r="C152" t="inlineStr">
        <is>
          <t>3.5 DTL Tracking</t>
        </is>
      </c>
      <c r="D152" t="inlineStr">
        <is>
          <t>DTLItemYearsRemaining</t>
        </is>
      </c>
      <c r="E152" t="inlineStr">
        <is>
          <t>Years remaining before recapture</t>
        </is>
      </c>
      <c r="F152" t="inlineStr">
        <is>
          <t>Integer</t>
        </is>
      </c>
      <c r="G152" t="inlineStr">
        <is>
          <t>Yes</t>
        </is>
      </c>
      <c r="H152" t="inlineStr">
        <is>
          <t>GIR/GloBEComputation/DTLTracking/YearsLeft</t>
        </is>
      </c>
      <c r="I152" t="inlineStr">
        <is>
          <t>GIR Calculation</t>
        </is>
      </c>
      <c r="J152" t="inlineStr">
        <is>
          <t>Group Tax</t>
        </is>
      </c>
      <c r="K152" t="inlineStr">
        <is>
          <t>High</t>
        </is>
      </c>
      <c r="L152" t="inlineStr">
        <is>
          <t>0-5</t>
        </is>
      </c>
      <c r="M152" t="inlineStr">
        <is>
          <t>5-year rule</t>
        </is>
      </c>
      <c r="N152" t="inlineStr">
        <is>
          <t>Not Started</t>
        </is>
      </c>
    </row>
    <row r="153">
      <c r="A153" t="inlineStr">
        <is>
          <t>S3-062</t>
        </is>
      </c>
      <c r="B153" t="inlineStr">
        <is>
          <t>Section 3</t>
        </is>
      </c>
      <c r="C153" t="inlineStr">
        <is>
          <t>3.5 DTL Tracking</t>
        </is>
      </c>
      <c r="D153" t="inlineStr">
        <is>
          <t>DTLItemRecaptureRequired</t>
        </is>
      </c>
      <c r="E153" t="inlineStr">
        <is>
          <t>Recapture required this year</t>
        </is>
      </c>
      <c r="F153" t="inlineStr">
        <is>
          <t>Boolean</t>
        </is>
      </c>
      <c r="G153" t="inlineStr">
        <is>
          <t>Yes</t>
        </is>
      </c>
      <c r="H153" t="inlineStr">
        <is>
          <t>GIR/GloBEComputation/DTLTracking/RecaptureReq</t>
        </is>
      </c>
      <c r="I153" t="inlineStr">
        <is>
          <t>GIR Calculation</t>
        </is>
      </c>
      <c r="J153" t="inlineStr">
        <is>
          <t>Group Tax</t>
        </is>
      </c>
      <c r="K153" t="inlineStr">
        <is>
          <t>Critical</t>
        </is>
      </c>
      <c r="L153" t="inlineStr">
        <is>
          <t>True/False</t>
        </is>
      </c>
      <c r="M153" t="inlineStr">
        <is>
          <t>If YearsLeft=0</t>
        </is>
      </c>
      <c r="N153" t="inlineStr">
        <is>
          <t>Not Started</t>
        </is>
      </c>
    </row>
    <row r="154">
      <c r="A154" t="inlineStr">
        <is>
          <t>S3-063</t>
        </is>
      </c>
      <c r="B154" t="inlineStr">
        <is>
          <t>Section 3</t>
        </is>
      </c>
      <c r="C154" t="inlineStr">
        <is>
          <t>3.5 DTL Tracking</t>
        </is>
      </c>
      <c r="D154" t="inlineStr">
        <is>
          <t>DTLItemRecaptureAmount</t>
        </is>
      </c>
      <c r="E154" t="inlineStr">
        <is>
          <t>Amount to recapture</t>
        </is>
      </c>
      <c r="F154" t="inlineStr">
        <is>
          <t>Decimal</t>
        </is>
      </c>
      <c r="G154" t="inlineStr">
        <is>
          <t>Conditional</t>
        </is>
      </c>
      <c r="H154" t="inlineStr">
        <is>
          <t>GIR/GloBEComputation/DTLTracking/RecaptureAmt</t>
        </is>
      </c>
      <c r="I154" t="inlineStr">
        <is>
          <t>GIR Calculation</t>
        </is>
      </c>
      <c r="J154" t="inlineStr">
        <is>
          <t>Group Tax</t>
        </is>
      </c>
      <c r="K154" t="inlineStr">
        <is>
          <t>Critical</t>
        </is>
      </c>
      <c r="L154" t="inlineStr">
        <is>
          <t>&gt;= 0</t>
        </is>
      </c>
      <c r="M154" t="inlineStr">
        <is>
          <t>If required</t>
        </is>
      </c>
      <c r="N154" t="inlineStr">
        <is>
          <t>Not Started</t>
        </is>
      </c>
    </row>
    <row r="155">
      <c r="A155" t="inlineStr">
        <is>
          <t>S3-064</t>
        </is>
      </c>
      <c r="B155" t="inlineStr">
        <is>
          <t>Section 3</t>
        </is>
      </c>
      <c r="C155" t="inlineStr">
        <is>
          <t>3.5 DTL Tracking</t>
        </is>
      </c>
      <c r="D155" t="inlineStr">
        <is>
          <t>DTLItemCategory</t>
        </is>
      </c>
      <c r="E155" t="inlineStr">
        <is>
          <t>Category of DTL item</t>
        </is>
      </c>
      <c r="F155" t="inlineStr">
        <is>
          <t>Enumeration</t>
        </is>
      </c>
      <c r="G155" t="inlineStr">
        <is>
          <t>Yes</t>
        </is>
      </c>
      <c r="H155" t="inlineStr">
        <is>
          <t>GIR/GloBEComputation/DTLTracking/Category</t>
        </is>
      </c>
      <c r="I155" t="inlineStr">
        <is>
          <t>Tax Provision</t>
        </is>
      </c>
      <c r="J155" t="inlineStr">
        <is>
          <t>Local Tax</t>
        </is>
      </c>
      <c r="K155" t="inlineStr">
        <is>
          <t>Medium</t>
        </is>
      </c>
      <c r="L155" t="inlineStr">
        <is>
          <t>Depreciation/Amort/Other</t>
        </is>
      </c>
      <c r="M155" t="inlineStr">
        <is>
          <t>Classification</t>
        </is>
      </c>
      <c r="N155" t="inlineStr">
        <is>
          <t>Not Started</t>
        </is>
      </c>
    </row>
    <row r="156">
      <c r="A156" t="inlineStr">
        <is>
          <t>S3-065</t>
        </is>
      </c>
      <c r="B156" t="inlineStr">
        <is>
          <t>Section 3</t>
        </is>
      </c>
      <c r="C156" t="inlineStr">
        <is>
          <t>3.5 DTL Tracking</t>
        </is>
      </c>
      <c r="D156" t="inlineStr">
        <is>
          <t>DTLItemRelatedAsset</t>
        </is>
      </c>
      <c r="E156" t="inlineStr">
        <is>
          <t>Related asset if applicable</t>
        </is>
      </c>
      <c r="F156" t="inlineStr">
        <is>
          <t>String</t>
        </is>
      </c>
      <c r="G156" t="inlineStr">
        <is>
          <t>No</t>
        </is>
      </c>
      <c r="H156" t="inlineStr">
        <is>
          <t>GIR/GloBEComputation/DTLTracking/Asset</t>
        </is>
      </c>
      <c r="I156" t="inlineStr">
        <is>
          <t>Tax Provision</t>
        </is>
      </c>
      <c r="J156" t="inlineStr">
        <is>
          <t>Local Tax</t>
        </is>
      </c>
      <c r="K156" t="inlineStr">
        <is>
          <t>Low</t>
        </is>
      </c>
      <c r="L156" t="inlineStr">
        <is>
          <t>Asset identifier</t>
        </is>
      </c>
      <c r="M156" t="inlineStr">
        <is>
          <t>Cross-reference</t>
        </is>
      </c>
      <c r="N156" t="inlineStr">
        <is>
          <t>Not Started</t>
        </is>
      </c>
    </row>
    <row r="157">
      <c r="A157" t="inlineStr">
        <is>
          <t>S3-066</t>
        </is>
      </c>
      <c r="B157" t="inlineStr">
        <is>
          <t>Section 3</t>
        </is>
      </c>
      <c r="C157" t="inlineStr">
        <is>
          <t>3.6 ETR Calculation</t>
        </is>
      </c>
      <c r="D157" t="inlineStr">
        <is>
          <t>JurisdictionAdjustedCoveredTaxes</t>
        </is>
      </c>
      <c r="E157" t="inlineStr">
        <is>
          <t>Total adjusted covered taxes</t>
        </is>
      </c>
      <c r="F157" t="inlineStr">
        <is>
          <t>Decimal</t>
        </is>
      </c>
      <c r="G157" t="inlineStr">
        <is>
          <t>Yes</t>
        </is>
      </c>
      <c r="H157" t="inlineStr">
        <is>
          <t>GIR/GloBEComputation/ETR/AdjCoveredTaxes</t>
        </is>
      </c>
      <c r="I157" t="inlineStr">
        <is>
          <t>GIR Calculation</t>
        </is>
      </c>
      <c r="J157" t="inlineStr">
        <is>
          <t>Group Tax</t>
        </is>
      </c>
      <c r="K157" t="inlineStr">
        <is>
          <t>Critical</t>
        </is>
      </c>
      <c r="L157" t="inlineStr">
        <is>
          <t>Any value</t>
        </is>
      </c>
      <c r="M157" t="inlineStr">
        <is>
          <t>Numerator</t>
        </is>
      </c>
      <c r="N157" t="inlineStr">
        <is>
          <t>Not Started</t>
        </is>
      </c>
    </row>
    <row r="158">
      <c r="A158" t="inlineStr">
        <is>
          <t>S3-067</t>
        </is>
      </c>
      <c r="B158" t="inlineStr">
        <is>
          <t>Section 3</t>
        </is>
      </c>
      <c r="C158" t="inlineStr">
        <is>
          <t>3.6 ETR Calculation</t>
        </is>
      </c>
      <c r="D158" t="inlineStr">
        <is>
          <t>JurisdictionGloBEIncome</t>
        </is>
      </c>
      <c r="E158" t="inlineStr">
        <is>
          <t>Total GloBE income for jurisdiction</t>
        </is>
      </c>
      <c r="F158" t="inlineStr">
        <is>
          <t>Decimal</t>
        </is>
      </c>
      <c r="G158" t="inlineStr">
        <is>
          <t>Yes</t>
        </is>
      </c>
      <c r="H158" t="inlineStr">
        <is>
          <t>GIR/GloBEComputation/ETR/GloBEIncome</t>
        </is>
      </c>
      <c r="I158" t="inlineStr">
        <is>
          <t>GIR Calculation</t>
        </is>
      </c>
      <c r="J158" t="inlineStr">
        <is>
          <t>Group Tax</t>
        </is>
      </c>
      <c r="K158" t="inlineStr">
        <is>
          <t>Critical</t>
        </is>
      </c>
      <c r="L158" t="inlineStr">
        <is>
          <t>Any value</t>
        </is>
      </c>
      <c r="M158" t="inlineStr">
        <is>
          <t>Denominator</t>
        </is>
      </c>
      <c r="N158" t="inlineStr">
        <is>
          <t>Not Started</t>
        </is>
      </c>
    </row>
    <row r="159">
      <c r="A159" t="inlineStr">
        <is>
          <t>S3-068</t>
        </is>
      </c>
      <c r="B159" t="inlineStr">
        <is>
          <t>Section 3</t>
        </is>
      </c>
      <c r="C159" t="inlineStr">
        <is>
          <t>3.6 ETR Calculation</t>
        </is>
      </c>
      <c r="D159" t="inlineStr">
        <is>
          <t>JurisdictionETR</t>
        </is>
      </c>
      <c r="E159" t="inlineStr">
        <is>
          <t>Calculated ETR percentage</t>
        </is>
      </c>
      <c r="F159" t="inlineStr">
        <is>
          <t>Decimal</t>
        </is>
      </c>
      <c r="G159" t="inlineStr">
        <is>
          <t>Yes</t>
        </is>
      </c>
      <c r="H159" t="inlineStr">
        <is>
          <t>GIR/GloBEComputation/ETR/Rate</t>
        </is>
      </c>
      <c r="I159" t="inlineStr">
        <is>
          <t>GIR Calculation</t>
        </is>
      </c>
      <c r="J159" t="inlineStr">
        <is>
          <t>Group Tax</t>
        </is>
      </c>
      <c r="K159" t="inlineStr">
        <is>
          <t>Critical</t>
        </is>
      </c>
      <c r="L159" t="inlineStr">
        <is>
          <t>Percentage</t>
        </is>
      </c>
      <c r="M159" t="inlineStr">
        <is>
          <t>Tax/Income</t>
        </is>
      </c>
      <c r="N159" t="inlineStr">
        <is>
          <t>Not Started</t>
        </is>
      </c>
    </row>
    <row r="160">
      <c r="A160" t="inlineStr">
        <is>
          <t>S3-069</t>
        </is>
      </c>
      <c r="B160" t="inlineStr">
        <is>
          <t>Section 3</t>
        </is>
      </c>
      <c r="C160" t="inlineStr">
        <is>
          <t>3.6 ETR Calculation</t>
        </is>
      </c>
      <c r="D160" t="inlineStr">
        <is>
          <t>MinimumTaxRate</t>
        </is>
      </c>
      <c r="E160" t="inlineStr">
        <is>
          <t>Minimum tax rate (15%)</t>
        </is>
      </c>
      <c r="F160" t="inlineStr">
        <is>
          <t>Decimal</t>
        </is>
      </c>
      <c r="G160" t="inlineStr">
        <is>
          <t>Yes</t>
        </is>
      </c>
      <c r="H160" t="inlineStr">
        <is>
          <t>GIR/GloBEComputation/ETR/MinRate</t>
        </is>
      </c>
      <c r="I160" t="inlineStr">
        <is>
          <t>Reference Data</t>
        </is>
      </c>
      <c r="J160" t="inlineStr">
        <is>
          <t>Group Tax</t>
        </is>
      </c>
      <c r="K160" t="inlineStr">
        <is>
          <t>Critical</t>
        </is>
      </c>
      <c r="L160" t="inlineStr">
        <is>
          <t>15</t>
        </is>
      </c>
      <c r="M160" t="inlineStr">
        <is>
          <t>Fixed rate</t>
        </is>
      </c>
      <c r="N160" t="inlineStr">
        <is>
          <t>Not Started</t>
        </is>
      </c>
    </row>
    <row r="161">
      <c r="A161" t="inlineStr">
        <is>
          <t>S3-070</t>
        </is>
      </c>
      <c r="B161" t="inlineStr">
        <is>
          <t>Section 3</t>
        </is>
      </c>
      <c r="C161" t="inlineStr">
        <is>
          <t>3.6 ETR Calculation</t>
        </is>
      </c>
      <c r="D161" t="inlineStr">
        <is>
          <t>TopUpTaxPercentage</t>
        </is>
      </c>
      <c r="E161" t="inlineStr">
        <is>
          <t>Top-up tax percentage</t>
        </is>
      </c>
      <c r="F161" t="inlineStr">
        <is>
          <t>Decimal</t>
        </is>
      </c>
      <c r="G161" t="inlineStr">
        <is>
          <t>Yes</t>
        </is>
      </c>
      <c r="H161" t="inlineStr">
        <is>
          <t>GIR/GloBEComputation/ETR/TopUpPct</t>
        </is>
      </c>
      <c r="I161" t="inlineStr">
        <is>
          <t>GIR Calculation</t>
        </is>
      </c>
      <c r="J161" t="inlineStr">
        <is>
          <t>Group Tax</t>
        </is>
      </c>
      <c r="K161" t="inlineStr">
        <is>
          <t>Critical</t>
        </is>
      </c>
      <c r="L161" t="inlineStr">
        <is>
          <t>&gt;= 0</t>
        </is>
      </c>
      <c r="M161" t="inlineStr">
        <is>
          <t>15% - ETR</t>
        </is>
      </c>
      <c r="N161" t="inlineStr">
        <is>
          <t>Not Started</t>
        </is>
      </c>
    </row>
    <row r="162">
      <c r="A162" t="inlineStr">
        <is>
          <t>S3-071</t>
        </is>
      </c>
      <c r="B162" t="inlineStr">
        <is>
          <t>Section 3</t>
        </is>
      </c>
      <c r="C162" t="inlineStr">
        <is>
          <t>3.6 ETR Calculation</t>
        </is>
      </c>
      <c r="D162" t="inlineStr">
        <is>
          <t>ETRBelowMinimum</t>
        </is>
      </c>
      <c r="E162" t="inlineStr">
        <is>
          <t>ETR below 15% indicator</t>
        </is>
      </c>
      <c r="F162" t="inlineStr">
        <is>
          <t>Boolean</t>
        </is>
      </c>
      <c r="G162" t="inlineStr">
        <is>
          <t>Yes</t>
        </is>
      </c>
      <c r="H162" t="inlineStr">
        <is>
          <t>GIR/GloBEComputation/ETR/BelowMin</t>
        </is>
      </c>
      <c r="I162" t="inlineStr">
        <is>
          <t>GIR Calculation</t>
        </is>
      </c>
      <c r="J162" t="inlineStr">
        <is>
          <t>Group Tax</t>
        </is>
      </c>
      <c r="K162" t="inlineStr">
        <is>
          <t>Critical</t>
        </is>
      </c>
      <c r="L162" t="inlineStr">
        <is>
          <t>True/False</t>
        </is>
      </c>
      <c r="M162" t="inlineStr">
        <is>
          <t>Triggers top-up</t>
        </is>
      </c>
      <c r="N162" t="inlineStr">
        <is>
          <t>Not Started</t>
        </is>
      </c>
    </row>
    <row r="163">
      <c r="A163" t="inlineStr">
        <is>
          <t>S3-072</t>
        </is>
      </c>
      <c r="B163" t="inlineStr">
        <is>
          <t>Section 3</t>
        </is>
      </c>
      <c r="C163" t="inlineStr">
        <is>
          <t>3.6 ETR Calculation</t>
        </is>
      </c>
      <c r="D163" t="inlineStr">
        <is>
          <t>GloBELossJurisdiction</t>
        </is>
      </c>
      <c r="E163" t="inlineStr">
        <is>
          <t>Jurisdiction in GloBE loss position</t>
        </is>
      </c>
      <c r="F163" t="inlineStr">
        <is>
          <t>Boolean</t>
        </is>
      </c>
      <c r="G163" t="inlineStr">
        <is>
          <t>Yes</t>
        </is>
      </c>
      <c r="H163" t="inlineStr">
        <is>
          <t>GIR/GloBEComputation/ETR/LossPosition</t>
        </is>
      </c>
      <c r="I163" t="inlineStr">
        <is>
          <t>GIR Calculation</t>
        </is>
      </c>
      <c r="J163" t="inlineStr">
        <is>
          <t>Group Tax</t>
        </is>
      </c>
      <c r="K163" t="inlineStr">
        <is>
          <t>High</t>
        </is>
      </c>
      <c r="L163" t="inlineStr">
        <is>
          <t>True/False</t>
        </is>
      </c>
      <c r="M163" t="inlineStr">
        <is>
          <t>No ETR calc</t>
        </is>
      </c>
      <c r="N163" t="inlineStr">
        <is>
          <t>Not Started</t>
        </is>
      </c>
    </row>
    <row r="164">
      <c r="A164" t="inlineStr">
        <is>
          <t>S3-073</t>
        </is>
      </c>
      <c r="B164" t="inlineStr">
        <is>
          <t>Section 3</t>
        </is>
      </c>
      <c r="C164" t="inlineStr">
        <is>
          <t>3.6 ETR Calculation</t>
        </is>
      </c>
      <c r="D164" t="inlineStr">
        <is>
          <t>ExcessNegativeTax</t>
        </is>
      </c>
      <c r="E164" t="inlineStr">
        <is>
          <t>Excess negative tax amount</t>
        </is>
      </c>
      <c r="F164" t="inlineStr">
        <is>
          <t>Decimal</t>
        </is>
      </c>
      <c r="G164" t="inlineStr">
        <is>
          <t>Yes</t>
        </is>
      </c>
      <c r="H164" t="inlineStr">
        <is>
          <t>GIR/GloBEComputation/ETR/ExcessNegTax</t>
        </is>
      </c>
      <c r="I164" t="inlineStr">
        <is>
          <t>GIR Calculation</t>
        </is>
      </c>
      <c r="J164" t="inlineStr">
        <is>
          <t>Group Tax</t>
        </is>
      </c>
      <c r="K164" t="inlineStr">
        <is>
          <t>High</t>
        </is>
      </c>
      <c r="L164" t="inlineStr">
        <is>
          <t>&gt;= 0</t>
        </is>
      </c>
      <c r="M164" t="inlineStr">
        <is>
          <t>Carryforward</t>
        </is>
      </c>
      <c r="N164" t="inlineStr">
        <is>
          <t>Not Started</t>
        </is>
      </c>
    </row>
    <row r="165">
      <c r="A165" t="inlineStr">
        <is>
          <t>S3-074</t>
        </is>
      </c>
      <c r="B165" t="inlineStr">
        <is>
          <t>Section 3</t>
        </is>
      </c>
      <c r="C165" t="inlineStr">
        <is>
          <t>3.6 ETR Calculation</t>
        </is>
      </c>
      <c r="D165" t="inlineStr">
        <is>
          <t>AdditionalCurrentTopUpTax</t>
        </is>
      </c>
      <c r="E165" t="inlineStr">
        <is>
          <t>Additional current top-up tax</t>
        </is>
      </c>
      <c r="F165" t="inlineStr">
        <is>
          <t>Decimal</t>
        </is>
      </c>
      <c r="G165" t="inlineStr">
        <is>
          <t>Yes</t>
        </is>
      </c>
      <c r="H165" t="inlineStr">
        <is>
          <t>GIR/GloBEComputation/ETR/AddlTopUp</t>
        </is>
      </c>
      <c r="I165" t="inlineStr">
        <is>
          <t>GIR Calculation</t>
        </is>
      </c>
      <c r="J165" t="inlineStr">
        <is>
          <t>Group Tax</t>
        </is>
      </c>
      <c r="K165" t="inlineStr">
        <is>
          <t>High</t>
        </is>
      </c>
      <c r="L165" t="inlineStr">
        <is>
          <t>&gt;= 0</t>
        </is>
      </c>
      <c r="M165" t="inlineStr">
        <is>
          <t>Prior year adj</t>
        </is>
      </c>
      <c r="N165" t="inlineStr">
        <is>
          <t>Not Started</t>
        </is>
      </c>
    </row>
    <row r="166">
      <c r="A166" t="inlineStr">
        <is>
          <t>S3-075</t>
        </is>
      </c>
      <c r="B166" t="inlineStr">
        <is>
          <t>Section 3</t>
        </is>
      </c>
      <c r="C166" t="inlineStr">
        <is>
          <t>3.6 ETR Calculation</t>
        </is>
      </c>
      <c r="D166" t="inlineStr">
        <is>
          <t>TotalTopUpTaxBeforeSBIE</t>
        </is>
      </c>
      <c r="E166" t="inlineStr">
        <is>
          <t>Top-up tax before SBIE reduction</t>
        </is>
      </c>
      <c r="F166" t="inlineStr">
        <is>
          <t>Decimal</t>
        </is>
      </c>
      <c r="G166" t="inlineStr">
        <is>
          <t>Yes</t>
        </is>
      </c>
      <c r="H166" t="inlineStr">
        <is>
          <t>GIR/GloBEComputation/ETR/TopUpPreSBIE</t>
        </is>
      </c>
      <c r="I166" t="inlineStr">
        <is>
          <t>GIR Calculation</t>
        </is>
      </c>
      <c r="J166" t="inlineStr">
        <is>
          <t>Group Tax</t>
        </is>
      </c>
      <c r="K166" t="inlineStr">
        <is>
          <t>Critical</t>
        </is>
      </c>
      <c r="L166" t="inlineStr">
        <is>
          <t>&gt;= 0</t>
        </is>
      </c>
      <c r="M166" t="inlineStr">
        <is>
          <t>Gross amount</t>
        </is>
      </c>
      <c r="N166" t="inlineStr">
        <is>
          <t>Not Started</t>
        </is>
      </c>
    </row>
    <row r="167">
      <c r="A167" t="inlineStr">
        <is>
          <t>S3-076</t>
        </is>
      </c>
      <c r="B167" t="inlineStr">
        <is>
          <t>Section 3</t>
        </is>
      </c>
      <c r="C167" t="inlineStr">
        <is>
          <t>3.7 SBIE</t>
        </is>
      </c>
      <c r="D167" t="inlineStr">
        <is>
          <t>EligiblePayrollCosts</t>
        </is>
      </c>
      <c r="E167" t="inlineStr">
        <is>
          <t>Total eligible payroll costs</t>
        </is>
      </c>
      <c r="F167" t="inlineStr">
        <is>
          <t>Decimal</t>
        </is>
      </c>
      <c r="G167" t="inlineStr">
        <is>
          <t>Yes</t>
        </is>
      </c>
      <c r="H167" t="inlineStr">
        <is>
          <t>GIR/GloBEComputation/SBIE/Payroll</t>
        </is>
      </c>
      <c r="I167" t="inlineStr">
        <is>
          <t>Financial System</t>
        </is>
      </c>
      <c r="J167" t="inlineStr">
        <is>
          <t>Local Finance</t>
        </is>
      </c>
      <c r="K167" t="inlineStr">
        <is>
          <t>Critical</t>
        </is>
      </c>
      <c r="L167" t="inlineStr">
        <is>
          <t>&gt;= 0</t>
        </is>
      </c>
      <c r="M167" t="inlineStr">
        <is>
          <t>Defined categories</t>
        </is>
      </c>
      <c r="N167" t="inlineStr">
        <is>
          <t>Not Started</t>
        </is>
      </c>
    </row>
    <row r="168">
      <c r="A168" t="inlineStr">
        <is>
          <t>S3-077</t>
        </is>
      </c>
      <c r="B168" t="inlineStr">
        <is>
          <t>Section 3</t>
        </is>
      </c>
      <c r="C168" t="inlineStr">
        <is>
          <t>3.7 SBIE</t>
        </is>
      </c>
      <c r="D168" t="inlineStr">
        <is>
          <t>PayrollCarveOutRate</t>
        </is>
      </c>
      <c r="E168" t="inlineStr">
        <is>
          <t>Payroll carve-out rate</t>
        </is>
      </c>
      <c r="F168" t="inlineStr">
        <is>
          <t>Decimal</t>
        </is>
      </c>
      <c r="G168" t="inlineStr">
        <is>
          <t>Yes</t>
        </is>
      </c>
      <c r="H168" t="inlineStr">
        <is>
          <t>GIR/GloBEComputation/SBIE/PayrollRate</t>
        </is>
      </c>
      <c r="I168" t="inlineStr">
        <is>
          <t>Reference Data</t>
        </is>
      </c>
      <c r="J168" t="inlineStr">
        <is>
          <t>Group Tax</t>
        </is>
      </c>
      <c r="K168" t="inlineStr">
        <is>
          <t>Critical</t>
        </is>
      </c>
      <c r="L168" t="inlineStr">
        <is>
          <t>Percentage</t>
        </is>
      </c>
      <c r="M168" t="inlineStr">
        <is>
          <t>Transitional 9.8% for 2024</t>
        </is>
      </c>
      <c r="N168" t="inlineStr">
        <is>
          <t>Not Started</t>
        </is>
      </c>
    </row>
    <row r="169">
      <c r="A169" t="inlineStr">
        <is>
          <t>S3-078</t>
        </is>
      </c>
      <c r="B169" t="inlineStr">
        <is>
          <t>Section 3</t>
        </is>
      </c>
      <c r="C169" t="inlineStr">
        <is>
          <t>3.7 SBIE</t>
        </is>
      </c>
      <c r="D169" t="inlineStr">
        <is>
          <t>PayrollCarveOutAmount</t>
        </is>
      </c>
      <c r="E169" t="inlineStr">
        <is>
          <t>Payroll carve-out amount</t>
        </is>
      </c>
      <c r="F169" t="inlineStr">
        <is>
          <t>Decimal</t>
        </is>
      </c>
      <c r="G169" t="inlineStr">
        <is>
          <t>Yes</t>
        </is>
      </c>
      <c r="H169" t="inlineStr">
        <is>
          <t>GIR/GloBEComputation/SBIE/PayrollCarveOut</t>
        </is>
      </c>
      <c r="I169" t="inlineStr">
        <is>
          <t>GIR Calculation</t>
        </is>
      </c>
      <c r="J169" t="inlineStr">
        <is>
          <t>Group Tax</t>
        </is>
      </c>
      <c r="K169" t="inlineStr">
        <is>
          <t>Critical</t>
        </is>
      </c>
      <c r="L169" t="inlineStr">
        <is>
          <t>&gt;= 0</t>
        </is>
      </c>
      <c r="M169" t="inlineStr">
        <is>
          <t>Payroll x Rate</t>
        </is>
      </c>
      <c r="N169" t="inlineStr">
        <is>
          <t>Not Started</t>
        </is>
      </c>
    </row>
    <row r="170">
      <c r="A170" t="inlineStr">
        <is>
          <t>S3-079</t>
        </is>
      </c>
      <c r="B170" t="inlineStr">
        <is>
          <t>Section 3</t>
        </is>
      </c>
      <c r="C170" t="inlineStr">
        <is>
          <t>3.7 SBIE</t>
        </is>
      </c>
      <c r="D170" t="inlineStr">
        <is>
          <t>TangibleAssetValue</t>
        </is>
      </c>
      <c r="E170" t="inlineStr">
        <is>
          <t>Carrying value of tangible assets</t>
        </is>
      </c>
      <c r="F170" t="inlineStr">
        <is>
          <t>Decimal</t>
        </is>
      </c>
      <c r="G170" t="inlineStr">
        <is>
          <t>Yes</t>
        </is>
      </c>
      <c r="H170" t="inlineStr">
        <is>
          <t>GIR/GloBEComputation/SBIE/TangibleAssets</t>
        </is>
      </c>
      <c r="I170" t="inlineStr">
        <is>
          <t>Financial System</t>
        </is>
      </c>
      <c r="J170" t="inlineStr">
        <is>
          <t>Local Finance</t>
        </is>
      </c>
      <c r="K170" t="inlineStr">
        <is>
          <t>Critical</t>
        </is>
      </c>
      <c r="L170" t="inlineStr">
        <is>
          <t>&gt;= 0</t>
        </is>
      </c>
      <c r="M170" t="inlineStr">
        <is>
          <t>Year-end or average</t>
        </is>
      </c>
      <c r="N170" t="inlineStr">
        <is>
          <t>Not Started</t>
        </is>
      </c>
    </row>
    <row r="171">
      <c r="A171" t="inlineStr">
        <is>
          <t>S3-080</t>
        </is>
      </c>
      <c r="B171" t="inlineStr">
        <is>
          <t>Section 3</t>
        </is>
      </c>
      <c r="C171" t="inlineStr">
        <is>
          <t>3.7 SBIE</t>
        </is>
      </c>
      <c r="D171" t="inlineStr">
        <is>
          <t>TangibleAssetCarveOutRate</t>
        </is>
      </c>
      <c r="E171" t="inlineStr">
        <is>
          <t>Tangible asset carve-out rate</t>
        </is>
      </c>
      <c r="F171" t="inlineStr">
        <is>
          <t>Decimal</t>
        </is>
      </c>
      <c r="G171" t="inlineStr">
        <is>
          <t>Yes</t>
        </is>
      </c>
      <c r="H171" t="inlineStr">
        <is>
          <t>GIR/GloBEComputation/SBIE/TangibleRate</t>
        </is>
      </c>
      <c r="I171" t="inlineStr">
        <is>
          <t>Reference Data</t>
        </is>
      </c>
      <c r="J171" t="inlineStr">
        <is>
          <t>Group Tax</t>
        </is>
      </c>
      <c r="K171" t="inlineStr">
        <is>
          <t>Critical</t>
        </is>
      </c>
      <c r="L171" t="inlineStr">
        <is>
          <t>Percentage</t>
        </is>
      </c>
      <c r="M171" t="inlineStr">
        <is>
          <t>Transitional 7.8% for 2024</t>
        </is>
      </c>
      <c r="N171" t="inlineStr">
        <is>
          <t>Not Started</t>
        </is>
      </c>
    </row>
    <row r="172">
      <c r="A172" t="inlineStr">
        <is>
          <t>S3-081</t>
        </is>
      </c>
      <c r="B172" t="inlineStr">
        <is>
          <t>Section 3</t>
        </is>
      </c>
      <c r="C172" t="inlineStr">
        <is>
          <t>3.7 SBIE</t>
        </is>
      </c>
      <c r="D172" t="inlineStr">
        <is>
          <t>TangibleAssetCarveOutAmount</t>
        </is>
      </c>
      <c r="E172" t="inlineStr">
        <is>
          <t>Tangible asset carve-out amount</t>
        </is>
      </c>
      <c r="F172" t="inlineStr">
        <is>
          <t>Decimal</t>
        </is>
      </c>
      <c r="G172" t="inlineStr">
        <is>
          <t>Yes</t>
        </is>
      </c>
      <c r="H172" t="inlineStr">
        <is>
          <t>GIR/GloBEComputation/SBIE/TangibleCarveOut</t>
        </is>
      </c>
      <c r="I172" t="inlineStr">
        <is>
          <t>GIR Calculation</t>
        </is>
      </c>
      <c r="J172" t="inlineStr">
        <is>
          <t>Group Tax</t>
        </is>
      </c>
      <c r="K172" t="inlineStr">
        <is>
          <t>Critical</t>
        </is>
      </c>
      <c r="L172" t="inlineStr">
        <is>
          <t>&gt;= 0</t>
        </is>
      </c>
      <c r="M172" t="inlineStr">
        <is>
          <t>Assets x Rate</t>
        </is>
      </c>
      <c r="N172" t="inlineStr">
        <is>
          <t>Not Started</t>
        </is>
      </c>
    </row>
    <row r="173">
      <c r="A173" t="inlineStr">
        <is>
          <t>S3-082</t>
        </is>
      </c>
      <c r="B173" t="inlineStr">
        <is>
          <t>Section 3</t>
        </is>
      </c>
      <c r="C173" t="inlineStr">
        <is>
          <t>3.7 SBIE</t>
        </is>
      </c>
      <c r="D173" t="inlineStr">
        <is>
          <t>TotalSBIEAmount</t>
        </is>
      </c>
      <c r="E173" t="inlineStr">
        <is>
          <t>Total SBIE amount</t>
        </is>
      </c>
      <c r="F173" t="inlineStr">
        <is>
          <t>Decimal</t>
        </is>
      </c>
      <c r="G173" t="inlineStr">
        <is>
          <t>Yes</t>
        </is>
      </c>
      <c r="H173" t="inlineStr">
        <is>
          <t>GIR/GloBEComputation/SBIE/Total</t>
        </is>
      </c>
      <c r="I173" t="inlineStr">
        <is>
          <t>GIR Calculation</t>
        </is>
      </c>
      <c r="J173" t="inlineStr">
        <is>
          <t>Group Tax</t>
        </is>
      </c>
      <c r="K173" t="inlineStr">
        <is>
          <t>Critical</t>
        </is>
      </c>
      <c r="L173" t="inlineStr">
        <is>
          <t>&gt;= 0</t>
        </is>
      </c>
      <c r="M173" t="inlineStr">
        <is>
          <t>Payroll + Tangible</t>
        </is>
      </c>
      <c r="N173" t="inlineStr">
        <is>
          <t>Not Started</t>
        </is>
      </c>
    </row>
    <row r="174">
      <c r="A174" t="inlineStr">
        <is>
          <t>S3-083</t>
        </is>
      </c>
      <c r="B174" t="inlineStr">
        <is>
          <t>Section 3</t>
        </is>
      </c>
      <c r="C174" t="inlineStr">
        <is>
          <t>3.7 SBIE</t>
        </is>
      </c>
      <c r="D174" t="inlineStr">
        <is>
          <t>EligibleEmployeesCount</t>
        </is>
      </c>
      <c r="E174" t="inlineStr">
        <is>
          <t>Number of eligible employees</t>
        </is>
      </c>
      <c r="F174" t="inlineStr">
        <is>
          <t>Integer</t>
        </is>
      </c>
      <c r="G174" t="inlineStr">
        <is>
          <t>Yes</t>
        </is>
      </c>
      <c r="H174" t="inlineStr">
        <is>
          <t>GIR/GloBEComputation/SBIE/EmployeeCount</t>
        </is>
      </c>
      <c r="I174" t="inlineStr">
        <is>
          <t>HR System</t>
        </is>
      </c>
      <c r="J174" t="inlineStr">
        <is>
          <t>Local HR</t>
        </is>
      </c>
      <c r="K174" t="inlineStr">
        <is>
          <t>Medium</t>
        </is>
      </c>
      <c r="L174" t="inlineStr">
        <is>
          <t>Positive integer</t>
        </is>
      </c>
      <c r="M174" t="inlineStr">
        <is>
          <t>For payroll</t>
        </is>
      </c>
      <c r="N174" t="inlineStr">
        <is>
          <t>Not Started</t>
        </is>
      </c>
    </row>
    <row r="175">
      <c r="A175" t="inlineStr">
        <is>
          <t>S3-084</t>
        </is>
      </c>
      <c r="B175" t="inlineStr">
        <is>
          <t>Section 3</t>
        </is>
      </c>
      <c r="C175" t="inlineStr">
        <is>
          <t>3.7 SBIE</t>
        </is>
      </c>
      <c r="D175" t="inlineStr">
        <is>
          <t>EmployeeLocationVerified</t>
        </is>
      </c>
      <c r="E175" t="inlineStr">
        <is>
          <t>Employee location verified</t>
        </is>
      </c>
      <c r="F175" t="inlineStr">
        <is>
          <t>Boolean</t>
        </is>
      </c>
      <c r="G175" t="inlineStr">
        <is>
          <t>Yes</t>
        </is>
      </c>
      <c r="H175" t="inlineStr">
        <is>
          <t>GIR/GloBEComputation/SBIE/LocationVerified</t>
        </is>
      </c>
      <c r="I175" t="inlineStr">
        <is>
          <t>HR System</t>
        </is>
      </c>
      <c r="J175" t="inlineStr">
        <is>
          <t>Local HR</t>
        </is>
      </c>
      <c r="K175" t="inlineStr">
        <is>
          <t>High</t>
        </is>
      </c>
      <c r="L175" t="inlineStr">
        <is>
          <t>True/False</t>
        </is>
      </c>
      <c r="M175" t="inlineStr">
        <is>
          <t>In jurisdiction</t>
        </is>
      </c>
      <c r="N175" t="inlineStr">
        <is>
          <t>Not Started</t>
        </is>
      </c>
    </row>
    <row r="176">
      <c r="A176" t="inlineStr">
        <is>
          <t>S3-085</t>
        </is>
      </c>
      <c r="B176" t="inlineStr">
        <is>
          <t>Section 3</t>
        </is>
      </c>
      <c r="C176" t="inlineStr">
        <is>
          <t>3.7 SBIE</t>
        </is>
      </c>
      <c r="D176" t="inlineStr">
        <is>
          <t>TangibleAssetTypes</t>
        </is>
      </c>
      <c r="E176" t="inlineStr">
        <is>
          <t>Categories of tangible assets</t>
        </is>
      </c>
      <c r="F176" t="inlineStr">
        <is>
          <t>String</t>
        </is>
      </c>
      <c r="G176" t="inlineStr">
        <is>
          <t>Yes</t>
        </is>
      </c>
      <c r="H176" t="inlineStr">
        <is>
          <t>GIR/GloBEComputation/SBIE/AssetTypes</t>
        </is>
      </c>
      <c r="I176" t="inlineStr">
        <is>
          <t>Fixed Asset System</t>
        </is>
      </c>
      <c r="J176" t="inlineStr">
        <is>
          <t>Local Finance</t>
        </is>
      </c>
      <c r="K176" t="inlineStr">
        <is>
          <t>Medium</t>
        </is>
      </c>
      <c r="L176" t="inlineStr">
        <is>
          <t>Asset categories</t>
        </is>
      </c>
      <c r="M176" t="inlineStr">
        <is>
          <t>PPE breakdown</t>
        </is>
      </c>
      <c r="N176" t="inlineStr">
        <is>
          <t>Not Started</t>
        </is>
      </c>
    </row>
    <row r="177">
      <c r="A177" t="inlineStr">
        <is>
          <t>S3-086</t>
        </is>
      </c>
      <c r="B177" t="inlineStr">
        <is>
          <t>Section 3</t>
        </is>
      </c>
      <c r="C177" t="inlineStr">
        <is>
          <t>3.7 SBIE</t>
        </is>
      </c>
      <c r="D177" t="inlineStr">
        <is>
          <t>SBIEExceededGloBEIncome</t>
        </is>
      </c>
      <c r="E177" t="inlineStr">
        <is>
          <t>SBIE exceeds GloBE income indicator</t>
        </is>
      </c>
      <c r="F177" t="inlineStr">
        <is>
          <t>Boolean</t>
        </is>
      </c>
      <c r="G177" t="inlineStr">
        <is>
          <t>Yes</t>
        </is>
      </c>
      <c r="H177" t="inlineStr">
        <is>
          <t>GIR/GloBEComputation/SBIE/ExceedsIncome</t>
        </is>
      </c>
      <c r="I177" t="inlineStr">
        <is>
          <t>GIR Calculation</t>
        </is>
      </c>
      <c r="J177" t="inlineStr">
        <is>
          <t>Group Tax</t>
        </is>
      </c>
      <c r="K177" t="inlineStr">
        <is>
          <t>High</t>
        </is>
      </c>
      <c r="L177" t="inlineStr">
        <is>
          <t>True/False</t>
        </is>
      </c>
      <c r="M177" t="inlineStr">
        <is>
          <t>No top-up if True</t>
        </is>
      </c>
      <c r="N177" t="inlineStr">
        <is>
          <t>Not Started</t>
        </is>
      </c>
    </row>
    <row r="178">
      <c r="A178" t="inlineStr">
        <is>
          <t>S3-087</t>
        </is>
      </c>
      <c r="B178" t="inlineStr">
        <is>
          <t>Section 3</t>
        </is>
      </c>
      <c r="C178" t="inlineStr">
        <is>
          <t>3.8 Top-Up Tax</t>
        </is>
      </c>
      <c r="D178" t="inlineStr">
        <is>
          <t>ExcessProfitAmount</t>
        </is>
      </c>
      <c r="E178" t="inlineStr">
        <is>
          <t>Excess profit (GloBE Income - SBIE)</t>
        </is>
      </c>
      <c r="F178" t="inlineStr">
        <is>
          <t>Decimal</t>
        </is>
      </c>
      <c r="G178" t="inlineStr">
        <is>
          <t>Yes</t>
        </is>
      </c>
      <c r="H178" t="inlineStr">
        <is>
          <t>GIR/GloBEComputation/TopUp/ExcessProfit</t>
        </is>
      </c>
      <c r="I178" t="inlineStr">
        <is>
          <t>GIR Calculation</t>
        </is>
      </c>
      <c r="J178" t="inlineStr">
        <is>
          <t>Group Tax</t>
        </is>
      </c>
      <c r="K178" t="inlineStr">
        <is>
          <t>Critical</t>
        </is>
      </c>
      <c r="L178" t="inlineStr">
        <is>
          <t>Any value</t>
        </is>
      </c>
      <c r="M178" t="inlineStr">
        <is>
          <t>May be negative</t>
        </is>
      </c>
      <c r="N178" t="inlineStr">
        <is>
          <t>Not Started</t>
        </is>
      </c>
    </row>
    <row r="179">
      <c r="A179" t="inlineStr">
        <is>
          <t>S3-088</t>
        </is>
      </c>
      <c r="B179" t="inlineStr">
        <is>
          <t>Section 3</t>
        </is>
      </c>
      <c r="C179" t="inlineStr">
        <is>
          <t>3.8 Top-Up Tax</t>
        </is>
      </c>
      <c r="D179" t="inlineStr">
        <is>
          <t>TopUpTaxAmount</t>
        </is>
      </c>
      <c r="E179" t="inlineStr">
        <is>
          <t>Calculated top-up tax amount</t>
        </is>
      </c>
      <c r="F179" t="inlineStr">
        <is>
          <t>Decimal</t>
        </is>
      </c>
      <c r="G179" t="inlineStr">
        <is>
          <t>Yes</t>
        </is>
      </c>
      <c r="H179" t="inlineStr">
        <is>
          <t>GIR/GloBEComputation/TopUp/Amount</t>
        </is>
      </c>
      <c r="I179" t="inlineStr">
        <is>
          <t>GIR Calculation</t>
        </is>
      </c>
      <c r="J179" t="inlineStr">
        <is>
          <t>Group Tax</t>
        </is>
      </c>
      <c r="K179" t="inlineStr">
        <is>
          <t>Critical</t>
        </is>
      </c>
      <c r="L179" t="inlineStr">
        <is>
          <t>&gt;= 0</t>
        </is>
      </c>
      <c r="M179" t="inlineStr">
        <is>
          <t>Excess x TopUp%</t>
        </is>
      </c>
      <c r="N179" t="inlineStr">
        <is>
          <t>Not Started</t>
        </is>
      </c>
    </row>
    <row r="180">
      <c r="A180" t="inlineStr">
        <is>
          <t>S3-089</t>
        </is>
      </c>
      <c r="B180" t="inlineStr">
        <is>
          <t>Section 3</t>
        </is>
      </c>
      <c r="C180" t="inlineStr">
        <is>
          <t>3.8 Top-Up Tax</t>
        </is>
      </c>
      <c r="D180" t="inlineStr">
        <is>
          <t>QDMTTCreditAmount</t>
        </is>
      </c>
      <c r="E180" t="inlineStr">
        <is>
          <t>QDMTT credit applied</t>
        </is>
      </c>
      <c r="F180" t="inlineStr">
        <is>
          <t>Decimal</t>
        </is>
      </c>
      <c r="G180" t="inlineStr">
        <is>
          <t>Yes</t>
        </is>
      </c>
      <c r="H180" t="inlineStr">
        <is>
          <t>GIR/GloBEComputation/TopUp/QDMTTCredit</t>
        </is>
      </c>
      <c r="I180" t="inlineStr">
        <is>
          <t>GIR Calculation</t>
        </is>
      </c>
      <c r="J180" t="inlineStr">
        <is>
          <t>Group Tax</t>
        </is>
      </c>
      <c r="K180" t="inlineStr">
        <is>
          <t>Critical</t>
        </is>
      </c>
      <c r="L180" t="inlineStr">
        <is>
          <t>&gt;= 0</t>
        </is>
      </c>
      <c r="M180" t="inlineStr">
        <is>
          <t>Reduces IIR/UTPR</t>
        </is>
      </c>
      <c r="N180" t="inlineStr">
        <is>
          <t>Not Started</t>
        </is>
      </c>
    </row>
    <row r="181">
      <c r="A181" t="inlineStr">
        <is>
          <t>S3-090</t>
        </is>
      </c>
      <c r="B181" t="inlineStr">
        <is>
          <t>Section 3</t>
        </is>
      </c>
      <c r="C181" t="inlineStr">
        <is>
          <t>3.8 Top-Up Tax</t>
        </is>
      </c>
      <c r="D181" t="inlineStr">
        <is>
          <t>NetTopUpTaxAfterQDMTT</t>
        </is>
      </c>
      <c r="E181" t="inlineStr">
        <is>
          <t>Net top-up after QDMTT</t>
        </is>
      </c>
      <c r="F181" t="inlineStr">
        <is>
          <t>Decimal</t>
        </is>
      </c>
      <c r="G181" t="inlineStr">
        <is>
          <t>Yes</t>
        </is>
      </c>
      <c r="H181" t="inlineStr">
        <is>
          <t>GIR/GloBEComputation/TopUp/NetAfterQDMTT</t>
        </is>
      </c>
      <c r="I181" t="inlineStr">
        <is>
          <t>GIR Calculation</t>
        </is>
      </c>
      <c r="J181" t="inlineStr">
        <is>
          <t>Group Tax</t>
        </is>
      </c>
      <c r="K181" t="inlineStr">
        <is>
          <t>Critical</t>
        </is>
      </c>
      <c r="L181" t="inlineStr">
        <is>
          <t>&gt;= 0</t>
        </is>
      </c>
      <c r="M181" t="inlineStr">
        <is>
          <t>For allocation</t>
        </is>
      </c>
      <c r="N181" t="inlineStr">
        <is>
          <t>Not Started</t>
        </is>
      </c>
    </row>
    <row r="182">
      <c r="A182" t="inlineStr">
        <is>
          <t>S3-091</t>
        </is>
      </c>
      <c r="B182" t="inlineStr">
        <is>
          <t>Section 3</t>
        </is>
      </c>
      <c r="C182" t="inlineStr">
        <is>
          <t>3.8 Top-Up Tax</t>
        </is>
      </c>
      <c r="D182" t="inlineStr">
        <is>
          <t>TopUpTaxAllocationMethod</t>
        </is>
      </c>
      <c r="E182" t="inlineStr">
        <is>
          <t>Allocation method (IIR/UTPR)</t>
        </is>
      </c>
      <c r="F182" t="inlineStr">
        <is>
          <t>Enumeration</t>
        </is>
      </c>
      <c r="G182" t="inlineStr">
        <is>
          <t>Yes</t>
        </is>
      </c>
      <c r="H182" t="inlineStr">
        <is>
          <t>GIR/GloBEComputation/TopUp/AllocMethod</t>
        </is>
      </c>
      <c r="I182" t="inlineStr">
        <is>
          <t>GIR Configuration</t>
        </is>
      </c>
      <c r="J182" t="inlineStr">
        <is>
          <t>Group Tax</t>
        </is>
      </c>
      <c r="K182" t="inlineStr">
        <is>
          <t>Critical</t>
        </is>
      </c>
      <c r="L182" t="inlineStr">
        <is>
          <t>IIR or UTPR</t>
        </is>
      </c>
      <c r="M182" t="inlineStr">
        <is>
          <t>Priority order</t>
        </is>
      </c>
      <c r="N182" t="inlineStr">
        <is>
          <t>Not Started</t>
        </is>
      </c>
    </row>
    <row r="183">
      <c r="A183" t="inlineStr">
        <is>
          <t>S3-092</t>
        </is>
      </c>
      <c r="B183" t="inlineStr">
        <is>
          <t>Section 3</t>
        </is>
      </c>
      <c r="C183" t="inlineStr">
        <is>
          <t>3.8 Top-Up Tax</t>
        </is>
      </c>
      <c r="D183" t="inlineStr">
        <is>
          <t>AdditionalTopUpTaxAdjustment</t>
        </is>
      </c>
      <c r="E183" t="inlineStr">
        <is>
          <t>Additional top-up adjustment</t>
        </is>
      </c>
      <c r="F183" t="inlineStr">
        <is>
          <t>Decimal</t>
        </is>
      </c>
      <c r="G183" t="inlineStr">
        <is>
          <t>Yes</t>
        </is>
      </c>
      <c r="H183" t="inlineStr">
        <is>
          <t>GIR/GloBEComputation/TopUp/AddlAdjust</t>
        </is>
      </c>
      <c r="I183" t="inlineStr">
        <is>
          <t>GIR Calculation</t>
        </is>
      </c>
      <c r="J183" t="inlineStr">
        <is>
          <t>Group Tax</t>
        </is>
      </c>
      <c r="K183" t="inlineStr">
        <is>
          <t>High</t>
        </is>
      </c>
      <c r="L183" t="inlineStr">
        <is>
          <t>Any value</t>
        </is>
      </c>
      <c r="M183" t="inlineStr">
        <is>
          <t>Prior year true-up</t>
        </is>
      </c>
      <c r="N183" t="inlineStr">
        <is>
          <t>Not Started</t>
        </is>
      </c>
    </row>
    <row r="184">
      <c r="A184" t="inlineStr">
        <is>
          <t>S3-093</t>
        </is>
      </c>
      <c r="B184" t="inlineStr">
        <is>
          <t>Section 3</t>
        </is>
      </c>
      <c r="C184" t="inlineStr">
        <is>
          <t>3.8 Top-Up Tax</t>
        </is>
      </c>
      <c r="D184" t="inlineStr">
        <is>
          <t>FinalTopUpTaxLiability</t>
        </is>
      </c>
      <c r="E184" t="inlineStr">
        <is>
          <t>Final top-up tax liability</t>
        </is>
      </c>
      <c r="F184" t="inlineStr">
        <is>
          <t>Decimal</t>
        </is>
      </c>
      <c r="G184" t="inlineStr">
        <is>
          <t>Yes</t>
        </is>
      </c>
      <c r="H184" t="inlineStr">
        <is>
          <t>GIR/GloBEComputation/TopUp/FinalLiability</t>
        </is>
      </c>
      <c r="I184" t="inlineStr">
        <is>
          <t>GIR Calculation</t>
        </is>
      </c>
      <c r="J184" t="inlineStr">
        <is>
          <t>Group Tax</t>
        </is>
      </c>
      <c r="K184" t="inlineStr">
        <is>
          <t>Critical</t>
        </is>
      </c>
      <c r="L184" t="inlineStr">
        <is>
          <t>&gt;= 0</t>
        </is>
      </c>
      <c r="M184" t="inlineStr">
        <is>
          <t>Amount to allocate</t>
        </is>
      </c>
      <c r="N184" t="inlineStr">
        <is>
          <t>Not Started</t>
        </is>
      </c>
    </row>
    <row r="185">
      <c r="A185" t="inlineStr">
        <is>
          <t>S3-094</t>
        </is>
      </c>
      <c r="B185" t="inlineStr">
        <is>
          <t>Section 3</t>
        </is>
      </c>
      <c r="C185" t="inlineStr">
        <is>
          <t>3.9 IIR Allocation</t>
        </is>
      </c>
      <c r="D185" t="inlineStr">
        <is>
          <t>IIRApplicable</t>
        </is>
      </c>
      <c r="E185" t="inlineStr">
        <is>
          <t>IIR applies to jurisdiction</t>
        </is>
      </c>
      <c r="F185" t="inlineStr">
        <is>
          <t>Boolean</t>
        </is>
      </c>
      <c r="G185" t="inlineStr">
        <is>
          <t>Yes</t>
        </is>
      </c>
      <c r="H185" t="inlineStr">
        <is>
          <t>GIR/GloBEComputation/IIR/Applicable</t>
        </is>
      </c>
      <c r="I185" t="inlineStr">
        <is>
          <t>GIR Analysis</t>
        </is>
      </c>
      <c r="J185" t="inlineStr">
        <is>
          <t>Group Tax</t>
        </is>
      </c>
      <c r="K185" t="inlineStr">
        <is>
          <t>Critical</t>
        </is>
      </c>
      <c r="L185" t="inlineStr">
        <is>
          <t>True/False</t>
        </is>
      </c>
      <c r="M185" t="inlineStr">
        <is>
          <t>Parent has QIIR</t>
        </is>
      </c>
      <c r="N185" t="inlineStr">
        <is>
          <t>Not Started</t>
        </is>
      </c>
    </row>
    <row r="186">
      <c r="A186" t="inlineStr">
        <is>
          <t>S3-095</t>
        </is>
      </c>
      <c r="B186" t="inlineStr">
        <is>
          <t>Section 3</t>
        </is>
      </c>
      <c r="C186" t="inlineStr">
        <is>
          <t>3.9 IIR Allocation</t>
        </is>
      </c>
      <c r="D186" t="inlineStr">
        <is>
          <t>IIRParentEntity</t>
        </is>
      </c>
      <c r="E186" t="inlineStr">
        <is>
          <t>Parent entity applying IIR</t>
        </is>
      </c>
      <c r="F186" t="inlineStr">
        <is>
          <t>String</t>
        </is>
      </c>
      <c r="G186" t="inlineStr">
        <is>
          <t>Yes</t>
        </is>
      </c>
      <c r="H186" t="inlineStr">
        <is>
          <t>GIR/GloBEComputation/IIR/ParentEntity</t>
        </is>
      </c>
      <c r="I186" t="inlineStr">
        <is>
          <t>Legal Entity Master</t>
        </is>
      </c>
      <c r="J186" t="inlineStr">
        <is>
          <t>Group Tax</t>
        </is>
      </c>
      <c r="K186" t="inlineStr">
        <is>
          <t>Critical</t>
        </is>
      </c>
      <c r="L186" t="inlineStr">
        <is>
          <t>Entity name</t>
        </is>
      </c>
      <c r="M186" t="inlineStr">
        <is>
          <t>Charging entity</t>
        </is>
      </c>
      <c r="N186" t="inlineStr">
        <is>
          <t>Not Started</t>
        </is>
      </c>
    </row>
    <row r="187">
      <c r="A187" t="inlineStr">
        <is>
          <t>S3-096</t>
        </is>
      </c>
      <c r="B187" t="inlineStr">
        <is>
          <t>Section 3</t>
        </is>
      </c>
      <c r="C187" t="inlineStr">
        <is>
          <t>3.9 IIR Allocation</t>
        </is>
      </c>
      <c r="D187" t="inlineStr">
        <is>
          <t>IIROwnershipPercentage</t>
        </is>
      </c>
      <c r="E187" t="inlineStr">
        <is>
          <t>Ownership % for IIR allocation</t>
        </is>
      </c>
      <c r="F187" t="inlineStr">
        <is>
          <t>Decimal</t>
        </is>
      </c>
      <c r="G187" t="inlineStr">
        <is>
          <t>Yes</t>
        </is>
      </c>
      <c r="H187" t="inlineStr">
        <is>
          <t>GIR/GloBEComputation/IIR/OwnershipPct</t>
        </is>
      </c>
      <c r="I187" t="inlineStr">
        <is>
          <t>Legal Entity Master</t>
        </is>
      </c>
      <c r="J187" t="inlineStr">
        <is>
          <t>Group Tax</t>
        </is>
      </c>
      <c r="K187" t="inlineStr">
        <is>
          <t>Critical</t>
        </is>
      </c>
      <c r="L187" t="inlineStr">
        <is>
          <t>0-100 percentage</t>
        </is>
      </c>
      <c r="M187" t="inlineStr">
        <is>
          <t>Allocable share</t>
        </is>
      </c>
      <c r="N187" t="inlineStr">
        <is>
          <t>Not Started</t>
        </is>
      </c>
    </row>
    <row r="188">
      <c r="A188" t="inlineStr">
        <is>
          <t>S3-097</t>
        </is>
      </c>
      <c r="B188" t="inlineStr">
        <is>
          <t>Section 3</t>
        </is>
      </c>
      <c r="C188" t="inlineStr">
        <is>
          <t>3.9 IIR Allocation</t>
        </is>
      </c>
      <c r="D188" t="inlineStr">
        <is>
          <t>IIRAllocableTopUpTax</t>
        </is>
      </c>
      <c r="E188" t="inlineStr">
        <is>
          <t>Top-up tax allocable via IIR</t>
        </is>
      </c>
      <c r="F188" t="inlineStr">
        <is>
          <t>Decimal</t>
        </is>
      </c>
      <c r="G188" t="inlineStr">
        <is>
          <t>Yes</t>
        </is>
      </c>
      <c r="H188" t="inlineStr">
        <is>
          <t>GIR/GloBEComputation/IIR/AllocableAmount</t>
        </is>
      </c>
      <c r="I188" t="inlineStr">
        <is>
          <t>GIR Calculation</t>
        </is>
      </c>
      <c r="J188" t="inlineStr">
        <is>
          <t>Group Tax</t>
        </is>
      </c>
      <c r="K188" t="inlineStr">
        <is>
          <t>Critical</t>
        </is>
      </c>
      <c r="L188" t="inlineStr">
        <is>
          <t>&gt;= 0</t>
        </is>
      </c>
      <c r="M188" t="inlineStr">
        <is>
          <t>After QDMTT</t>
        </is>
      </c>
      <c r="N188" t="inlineStr">
        <is>
          <t>Not Started</t>
        </is>
      </c>
    </row>
    <row r="189">
      <c r="A189" t="inlineStr">
        <is>
          <t>S3-098</t>
        </is>
      </c>
      <c r="B189" t="inlineStr">
        <is>
          <t>Section 3</t>
        </is>
      </c>
      <c r="C189" t="inlineStr">
        <is>
          <t>3.9 IIR Allocation</t>
        </is>
      </c>
      <c r="D189" t="inlineStr">
        <is>
          <t>IIRAllocatedAmount</t>
        </is>
      </c>
      <c r="E189" t="inlineStr">
        <is>
          <t>IIR amount allocated</t>
        </is>
      </c>
      <c r="F189" t="inlineStr">
        <is>
          <t>Decimal</t>
        </is>
      </c>
      <c r="G189" t="inlineStr">
        <is>
          <t>Yes</t>
        </is>
      </c>
      <c r="H189" t="inlineStr">
        <is>
          <t>GIR/GloBEComputation/IIR/AllocatedAmount</t>
        </is>
      </c>
      <c r="I189" t="inlineStr">
        <is>
          <t>GIR Calculation</t>
        </is>
      </c>
      <c r="J189" t="inlineStr">
        <is>
          <t>Group Tax</t>
        </is>
      </c>
      <c r="K189" t="inlineStr">
        <is>
          <t>Critical</t>
        </is>
      </c>
      <c r="L189" t="inlineStr">
        <is>
          <t>&gt;= 0</t>
        </is>
      </c>
      <c r="M189" t="inlineStr">
        <is>
          <t>Per ownership</t>
        </is>
      </c>
      <c r="N189" t="inlineStr">
        <is>
          <t>Not Started</t>
        </is>
      </c>
    </row>
    <row r="190">
      <c r="A190" t="inlineStr">
        <is>
          <t>S3-099</t>
        </is>
      </c>
      <c r="B190" t="inlineStr">
        <is>
          <t>Section 3</t>
        </is>
      </c>
      <c r="C190" t="inlineStr">
        <is>
          <t>3.9 IIR Allocation</t>
        </is>
      </c>
      <c r="D190" t="inlineStr">
        <is>
          <t>IIROffsetAgainstUTPR</t>
        </is>
      </c>
      <c r="E190" t="inlineStr">
        <is>
          <t>IIR offsets UTPR</t>
        </is>
      </c>
      <c r="F190" t="inlineStr">
        <is>
          <t>Boolean</t>
        </is>
      </c>
      <c r="G190" t="inlineStr">
        <is>
          <t>Yes</t>
        </is>
      </c>
      <c r="H190" t="inlineStr">
        <is>
          <t>GIR/GloBEComputation/IIR/OffsetsUTPR</t>
        </is>
      </c>
      <c r="I190" t="inlineStr">
        <is>
          <t>GIR Calculation</t>
        </is>
      </c>
      <c r="J190" t="inlineStr">
        <is>
          <t>Group Tax</t>
        </is>
      </c>
      <c r="K190" t="inlineStr">
        <is>
          <t>High</t>
        </is>
      </c>
      <c r="L190" t="inlineStr">
        <is>
          <t>True/False</t>
        </is>
      </c>
      <c r="M190" t="inlineStr">
        <is>
          <t>Priority rule</t>
        </is>
      </c>
      <c r="N190" t="inlineStr">
        <is>
          <t>Not Started</t>
        </is>
      </c>
    </row>
    <row r="191">
      <c r="A191" t="inlineStr">
        <is>
          <t>S3-100</t>
        </is>
      </c>
      <c r="B191" t="inlineStr">
        <is>
          <t>Section 3</t>
        </is>
      </c>
      <c r="C191" t="inlineStr">
        <is>
          <t>3.9 IIR Allocation</t>
        </is>
      </c>
      <c r="D191" t="inlineStr">
        <is>
          <t>IIRPayingJurisdiction</t>
        </is>
      </c>
      <c r="E191" t="inlineStr">
        <is>
          <t>Jurisdiction paying IIR</t>
        </is>
      </c>
      <c r="F191" t="inlineStr">
        <is>
          <t>Country Code</t>
        </is>
      </c>
      <c r="G191" t="inlineStr">
        <is>
          <t>Yes</t>
        </is>
      </c>
      <c r="H191" t="inlineStr">
        <is>
          <t>GIR/GloBEComputation/IIR/PayingJuris</t>
        </is>
      </c>
      <c r="I191" t="inlineStr">
        <is>
          <t>GIR Calculation</t>
        </is>
      </c>
      <c r="J191" t="inlineStr">
        <is>
          <t>Group Tax</t>
        </is>
      </c>
      <c r="K191" t="inlineStr">
        <is>
          <t>Critical</t>
        </is>
      </c>
      <c r="L191" t="inlineStr">
        <is>
          <t>ISO 3166-1 alpha-2</t>
        </is>
      </c>
      <c r="M191" t="inlineStr">
        <is>
          <t>Where charged</t>
        </is>
      </c>
      <c r="N191" t="inlineStr">
        <is>
          <t>Not Started</t>
        </is>
      </c>
    </row>
    <row r="192">
      <c r="A192" t="inlineStr">
        <is>
          <t>S3-101</t>
        </is>
      </c>
      <c r="B192" t="inlineStr">
        <is>
          <t>Section 3</t>
        </is>
      </c>
      <c r="C192" t="inlineStr">
        <is>
          <t>3.10 UTPR Allocation</t>
        </is>
      </c>
      <c r="D192" t="inlineStr">
        <is>
          <t>UTPRApplicable</t>
        </is>
      </c>
      <c r="E192" t="inlineStr">
        <is>
          <t>UTPR applies to jurisdiction</t>
        </is>
      </c>
      <c r="F192" t="inlineStr">
        <is>
          <t>Boolean</t>
        </is>
      </c>
      <c r="G192" t="inlineStr">
        <is>
          <t>Yes</t>
        </is>
      </c>
      <c r="H192" t="inlineStr">
        <is>
          <t>GIR/GloBEComputation/UTPR/Applicable</t>
        </is>
      </c>
      <c r="I192" t="inlineStr">
        <is>
          <t>GIR Analysis</t>
        </is>
      </c>
      <c r="J192" t="inlineStr">
        <is>
          <t>Group Tax</t>
        </is>
      </c>
      <c r="K192" t="inlineStr">
        <is>
          <t>Critical</t>
        </is>
      </c>
      <c r="L192" t="inlineStr">
        <is>
          <t>True/False</t>
        </is>
      </c>
      <c r="M192" t="inlineStr">
        <is>
          <t>Backstop mechanism</t>
        </is>
      </c>
      <c r="N192" t="inlineStr">
        <is>
          <t>Not Started</t>
        </is>
      </c>
    </row>
    <row r="193">
      <c r="A193" t="inlineStr">
        <is>
          <t>S3-102</t>
        </is>
      </c>
      <c r="B193" t="inlineStr">
        <is>
          <t>Section 3</t>
        </is>
      </c>
      <c r="C193" t="inlineStr">
        <is>
          <t>3.10 UTPR Allocation</t>
        </is>
      </c>
      <c r="D193" t="inlineStr">
        <is>
          <t>UTPRResidualTopUp</t>
        </is>
      </c>
      <c r="E193" t="inlineStr">
        <is>
          <t>Residual top-up for UTPR</t>
        </is>
      </c>
      <c r="F193" t="inlineStr">
        <is>
          <t>Decimal</t>
        </is>
      </c>
      <c r="G193" t="inlineStr">
        <is>
          <t>Yes</t>
        </is>
      </c>
      <c r="H193" t="inlineStr">
        <is>
          <t>GIR/GloBEComputation/UTPR/ResidualAmount</t>
        </is>
      </c>
      <c r="I193" t="inlineStr">
        <is>
          <t>GIR Calculation</t>
        </is>
      </c>
      <c r="J193" t="inlineStr">
        <is>
          <t>Group Tax</t>
        </is>
      </c>
      <c r="K193" t="inlineStr">
        <is>
          <t>Critical</t>
        </is>
      </c>
      <c r="L193" t="inlineStr">
        <is>
          <t>&gt;= 0</t>
        </is>
      </c>
      <c r="M193" t="inlineStr">
        <is>
          <t>After IIR</t>
        </is>
      </c>
      <c r="N193" t="inlineStr">
        <is>
          <t>Not Started</t>
        </is>
      </c>
    </row>
    <row r="194">
      <c r="A194" t="inlineStr">
        <is>
          <t>S3-103</t>
        </is>
      </c>
      <c r="B194" t="inlineStr">
        <is>
          <t>Section 3</t>
        </is>
      </c>
      <c r="C194" t="inlineStr">
        <is>
          <t>3.10 UTPR Allocation</t>
        </is>
      </c>
      <c r="D194" t="inlineStr">
        <is>
          <t>UTPREmployeeCount</t>
        </is>
      </c>
      <c r="E194" t="inlineStr">
        <is>
          <t>Employee count for UTPR allocation</t>
        </is>
      </c>
      <c r="F194" t="inlineStr">
        <is>
          <t>Integer</t>
        </is>
      </c>
      <c r="G194" t="inlineStr">
        <is>
          <t>Yes</t>
        </is>
      </c>
      <c r="H194" t="inlineStr">
        <is>
          <t>GIR/GloBEComputation/UTPR/EmployeeCount</t>
        </is>
      </c>
      <c r="I194" t="inlineStr">
        <is>
          <t>HR System</t>
        </is>
      </c>
      <c r="J194" t="inlineStr">
        <is>
          <t>Group Tax</t>
        </is>
      </c>
      <c r="K194" t="inlineStr">
        <is>
          <t>High</t>
        </is>
      </c>
      <c r="L194" t="inlineStr">
        <is>
          <t>Positive integer</t>
        </is>
      </c>
      <c r="M194" t="inlineStr">
        <is>
          <t>Allocation factor</t>
        </is>
      </c>
      <c r="N194" t="inlineStr">
        <is>
          <t>Not Started</t>
        </is>
      </c>
    </row>
    <row r="195">
      <c r="A195" t="inlineStr">
        <is>
          <t>S3-104</t>
        </is>
      </c>
      <c r="B195" t="inlineStr">
        <is>
          <t>Section 3</t>
        </is>
      </c>
      <c r="C195" t="inlineStr">
        <is>
          <t>3.10 UTPR Allocation</t>
        </is>
      </c>
      <c r="D195" t="inlineStr">
        <is>
          <t>UTPRTangibleAssets</t>
        </is>
      </c>
      <c r="E195" t="inlineStr">
        <is>
          <t>Tangible assets for UTPR allocation</t>
        </is>
      </c>
      <c r="F195" t="inlineStr">
        <is>
          <t>Decimal</t>
        </is>
      </c>
      <c r="G195" t="inlineStr">
        <is>
          <t>Yes</t>
        </is>
      </c>
      <c r="H195" t="inlineStr">
        <is>
          <t>GIR/GloBEComputation/UTPR/TangibleAssets</t>
        </is>
      </c>
      <c r="I195" t="inlineStr">
        <is>
          <t>Financial System</t>
        </is>
      </c>
      <c r="J195" t="inlineStr">
        <is>
          <t>Group Tax</t>
        </is>
      </c>
      <c r="K195" t="inlineStr">
        <is>
          <t>High</t>
        </is>
      </c>
      <c r="L195" t="inlineStr">
        <is>
          <t>&gt;= 0</t>
        </is>
      </c>
      <c r="M195" t="inlineStr">
        <is>
          <t>Allocation factor</t>
        </is>
      </c>
      <c r="N195" t="inlineStr">
        <is>
          <t>Not Started</t>
        </is>
      </c>
    </row>
    <row r="196">
      <c r="A196" t="inlineStr">
        <is>
          <t>S3-105</t>
        </is>
      </c>
      <c r="B196" t="inlineStr">
        <is>
          <t>Section 3</t>
        </is>
      </c>
      <c r="C196" t="inlineStr">
        <is>
          <t>3.10 UTPR Allocation</t>
        </is>
      </c>
      <c r="D196" t="inlineStr">
        <is>
          <t>UTPREmployeePercentage</t>
        </is>
      </c>
      <c r="E196" t="inlineStr">
        <is>
          <t>Employee percentage of total</t>
        </is>
      </c>
      <c r="F196" t="inlineStr">
        <is>
          <t>Decimal</t>
        </is>
      </c>
      <c r="G196" t="inlineStr">
        <is>
          <t>Yes</t>
        </is>
      </c>
      <c r="H196" t="inlineStr">
        <is>
          <t>GIR/GloBEComputation/UTPR/EmployeePct</t>
        </is>
      </c>
      <c r="I196" t="inlineStr">
        <is>
          <t>GIR Calculation</t>
        </is>
      </c>
      <c r="J196" t="inlineStr">
        <is>
          <t>Group Tax</t>
        </is>
      </c>
      <c r="K196" t="inlineStr">
        <is>
          <t>High</t>
        </is>
      </c>
      <c r="L196" t="inlineStr">
        <is>
          <t>0-100 percentage</t>
        </is>
      </c>
      <c r="M196" t="inlineStr">
        <is>
          <t>Weighted 50%</t>
        </is>
      </c>
      <c r="N196" t="inlineStr">
        <is>
          <t>Not Started</t>
        </is>
      </c>
    </row>
    <row r="197">
      <c r="A197" t="inlineStr">
        <is>
          <t>S3-106</t>
        </is>
      </c>
      <c r="B197" t="inlineStr">
        <is>
          <t>Section 3</t>
        </is>
      </c>
      <c r="C197" t="inlineStr">
        <is>
          <t>3.10 UTPR Allocation</t>
        </is>
      </c>
      <c r="D197" t="inlineStr">
        <is>
          <t>UTPRAssetPercentage</t>
        </is>
      </c>
      <c r="E197" t="inlineStr">
        <is>
          <t>Asset percentage of total</t>
        </is>
      </c>
      <c r="F197" t="inlineStr">
        <is>
          <t>Decimal</t>
        </is>
      </c>
      <c r="G197" t="inlineStr">
        <is>
          <t>Yes</t>
        </is>
      </c>
      <c r="H197" t="inlineStr">
        <is>
          <t>GIR/GloBEComputation/UTPR/AssetPct</t>
        </is>
      </c>
      <c r="I197" t="inlineStr">
        <is>
          <t>GIR Calculation</t>
        </is>
      </c>
      <c r="J197" t="inlineStr">
        <is>
          <t>Group Tax</t>
        </is>
      </c>
      <c r="K197" t="inlineStr">
        <is>
          <t>High</t>
        </is>
      </c>
      <c r="L197" t="inlineStr">
        <is>
          <t>0-100 percentage</t>
        </is>
      </c>
      <c r="M197" t="inlineStr">
        <is>
          <t>Weighted 50%</t>
        </is>
      </c>
      <c r="N197" t="inlineStr">
        <is>
          <t>Not Started</t>
        </is>
      </c>
    </row>
    <row r="198">
      <c r="A198" t="inlineStr">
        <is>
          <t>S3-107</t>
        </is>
      </c>
      <c r="B198" t="inlineStr">
        <is>
          <t>Section 3</t>
        </is>
      </c>
      <c r="C198" t="inlineStr">
        <is>
          <t>3.10 UTPR Allocation</t>
        </is>
      </c>
      <c r="D198" t="inlineStr">
        <is>
          <t>UTPRAllocationPercentage</t>
        </is>
      </c>
      <c r="E198" t="inlineStr">
        <is>
          <t>Combined UTPR allocation %</t>
        </is>
      </c>
      <c r="F198" t="inlineStr">
        <is>
          <t>Decimal</t>
        </is>
      </c>
      <c r="G198" t="inlineStr">
        <is>
          <t>Yes</t>
        </is>
      </c>
      <c r="H198" t="inlineStr">
        <is>
          <t>GIR/GloBEComputation/UTPR/AllocationPct</t>
        </is>
      </c>
      <c r="I198" t="inlineStr">
        <is>
          <t>GIR Calculation</t>
        </is>
      </c>
      <c r="J198" t="inlineStr">
        <is>
          <t>Group Tax</t>
        </is>
      </c>
      <c r="K198" t="inlineStr">
        <is>
          <t>Critical</t>
        </is>
      </c>
      <c r="L198" t="inlineStr">
        <is>
          <t>0-100 percentage</t>
        </is>
      </c>
      <c r="M198" t="inlineStr">
        <is>
          <t>50/50 blend</t>
        </is>
      </c>
      <c r="N198" t="inlineStr">
        <is>
          <t>Not Started</t>
        </is>
      </c>
    </row>
    <row r="199">
      <c r="A199" t="inlineStr">
        <is>
          <t>S3-108</t>
        </is>
      </c>
      <c r="B199" t="inlineStr">
        <is>
          <t>Section 3</t>
        </is>
      </c>
      <c r="C199" t="inlineStr">
        <is>
          <t>3.10 UTPR Allocation</t>
        </is>
      </c>
      <c r="D199" t="inlineStr">
        <is>
          <t>UTPRAllocatedAmount</t>
        </is>
      </c>
      <c r="E199" t="inlineStr">
        <is>
          <t>UTPR amount allocated</t>
        </is>
      </c>
      <c r="F199" t="inlineStr">
        <is>
          <t>Decimal</t>
        </is>
      </c>
      <c r="G199" t="inlineStr">
        <is>
          <t>Yes</t>
        </is>
      </c>
      <c r="H199" t="inlineStr">
        <is>
          <t>GIR/GloBEComputation/UTPR/AllocatedAmount</t>
        </is>
      </c>
      <c r="I199" t="inlineStr">
        <is>
          <t>GIR Calculation</t>
        </is>
      </c>
      <c r="J199" t="inlineStr">
        <is>
          <t>Group Tax</t>
        </is>
      </c>
      <c r="K199" t="inlineStr">
        <is>
          <t>Critical</t>
        </is>
      </c>
      <c r="L199" t="inlineStr">
        <is>
          <t>&gt;= 0</t>
        </is>
      </c>
      <c r="M199" t="inlineStr">
        <is>
          <t>Per allocation %</t>
        </is>
      </c>
      <c r="N199" t="inlineStr">
        <is>
          <t>Not Started</t>
        </is>
      </c>
    </row>
    <row r="200">
      <c r="A200" t="inlineStr">
        <is>
          <t>S3-109</t>
        </is>
      </c>
      <c r="B200" t="inlineStr">
        <is>
          <t>Section 3</t>
        </is>
      </c>
      <c r="C200" t="inlineStr">
        <is>
          <t>3.10 UTPR Allocation</t>
        </is>
      </c>
      <c r="D200" t="inlineStr">
        <is>
          <t>UTPRPayingJurisdiction</t>
        </is>
      </c>
      <c r="E200" t="inlineStr">
        <is>
          <t>Jurisdiction paying UTPR</t>
        </is>
      </c>
      <c r="F200" t="inlineStr">
        <is>
          <t>Country Code</t>
        </is>
      </c>
      <c r="G200" t="inlineStr">
        <is>
          <t>Yes</t>
        </is>
      </c>
      <c r="H200" t="inlineStr">
        <is>
          <t>GIR/GloBEComputation/UTPR/PayingJuris</t>
        </is>
      </c>
      <c r="I200" t="inlineStr">
        <is>
          <t>GIR Calculation</t>
        </is>
      </c>
      <c r="J200" t="inlineStr">
        <is>
          <t>Group Tax</t>
        </is>
      </c>
      <c r="K200" t="inlineStr">
        <is>
          <t>Critical</t>
        </is>
      </c>
      <c r="L200" t="inlineStr">
        <is>
          <t>ISO 3166-1 alpha-2</t>
        </is>
      </c>
      <c r="M200" t="inlineStr">
        <is>
          <t>Where charged</t>
        </is>
      </c>
      <c r="N200" t="inlineStr">
        <is>
          <t>Not Started</t>
        </is>
      </c>
    </row>
    <row r="201">
      <c r="A201" t="inlineStr">
        <is>
          <t>S3-110</t>
        </is>
      </c>
      <c r="B201" t="inlineStr">
        <is>
          <t>Section 3</t>
        </is>
      </c>
      <c r="C201" t="inlineStr">
        <is>
          <t>3.10 UTPR Allocation</t>
        </is>
      </c>
      <c r="D201" t="inlineStr">
        <is>
          <t>UTPRPayingEntity</t>
        </is>
      </c>
      <c r="E201" t="inlineStr">
        <is>
          <t>Entity paying UTPR</t>
        </is>
      </c>
      <c r="F201" t="inlineStr">
        <is>
          <t>String</t>
        </is>
      </c>
      <c r="G201" t="inlineStr">
        <is>
          <t>Yes</t>
        </is>
      </c>
      <c r="H201" t="inlineStr">
        <is>
          <t>GIR/GloBEComputation/UTPR/PayingEntity</t>
        </is>
      </c>
      <c r="I201" t="inlineStr">
        <is>
          <t>GIR Calculation</t>
        </is>
      </c>
      <c r="J201" t="inlineStr">
        <is>
          <t>Group Tax</t>
        </is>
      </c>
      <c r="K201" t="inlineStr">
        <is>
          <t>Critical</t>
        </is>
      </c>
      <c r="L201" t="inlineStr">
        <is>
          <t>Entity name</t>
        </is>
      </c>
      <c r="M201" t="inlineStr">
        <is>
          <t>Charged CE</t>
        </is>
      </c>
      <c r="N201" t="inlineStr">
        <is>
          <t>Not Started</t>
        </is>
      </c>
    </row>
    <row r="202">
      <c r="A202" t="inlineStr">
        <is>
          <t>S3-111</t>
        </is>
      </c>
      <c r="B202" t="inlineStr">
        <is>
          <t>Section 3</t>
        </is>
      </c>
      <c r="C202" t="inlineStr">
        <is>
          <t>3.11 Elections</t>
        </is>
      </c>
      <c r="D202" t="inlineStr">
        <is>
          <t>Art321bEquityMethodElection</t>
        </is>
      </c>
      <c r="E202" t="inlineStr">
        <is>
          <t>Article 3.2.1(b) equity method election</t>
        </is>
      </c>
      <c r="F202" t="inlineStr">
        <is>
          <t>Boolean</t>
        </is>
      </c>
      <c r="G202" t="inlineStr">
        <is>
          <t>No</t>
        </is>
      </c>
      <c r="H202" t="inlineStr">
        <is>
          <t>GIR/Elections/Art321b</t>
        </is>
      </c>
      <c r="I202" t="inlineStr">
        <is>
          <t>GIR Configuration</t>
        </is>
      </c>
      <c r="J202" t="inlineStr">
        <is>
          <t>Group Tax</t>
        </is>
      </c>
      <c r="K202" t="inlineStr">
        <is>
          <t>Medium</t>
        </is>
      </c>
      <c r="L202" t="inlineStr">
        <is>
          <t>True/False</t>
        </is>
      </c>
      <c r="M202" t="inlineStr">
        <is>
          <t>5-year binding</t>
        </is>
      </c>
      <c r="N202" t="inlineStr">
        <is>
          <t>Not Started</t>
        </is>
      </c>
    </row>
    <row r="203">
      <c r="A203" t="inlineStr">
        <is>
          <t>S3-112</t>
        </is>
      </c>
      <c r="B203" t="inlineStr">
        <is>
          <t>Section 3</t>
        </is>
      </c>
      <c r="C203" t="inlineStr">
        <is>
          <t>3.11 Elections</t>
        </is>
      </c>
      <c r="D203" t="inlineStr">
        <is>
          <t>Art322StockCompElection</t>
        </is>
      </c>
      <c r="E203" t="inlineStr">
        <is>
          <t>Article 3.2.2 stock comp election</t>
        </is>
      </c>
      <c r="F203" t="inlineStr">
        <is>
          <t>Boolean</t>
        </is>
      </c>
      <c r="G203" t="inlineStr">
        <is>
          <t>No</t>
        </is>
      </c>
      <c r="H203" t="inlineStr">
        <is>
          <t>GIR/Elections/Art322</t>
        </is>
      </c>
      <c r="I203" t="inlineStr">
        <is>
          <t>GIR Configuration</t>
        </is>
      </c>
      <c r="J203" t="inlineStr">
        <is>
          <t>Group Tax</t>
        </is>
      </c>
      <c r="K203" t="inlineStr">
        <is>
          <t>Medium</t>
        </is>
      </c>
      <c r="L203" t="inlineStr">
        <is>
          <t>True/False</t>
        </is>
      </c>
      <c r="M203" t="inlineStr">
        <is>
          <t>Deduction method</t>
        </is>
      </c>
      <c r="N203" t="inlineStr">
        <is>
          <t>Not Started</t>
        </is>
      </c>
    </row>
    <row r="204">
      <c r="A204" t="inlineStr">
        <is>
          <t>S3-113</t>
        </is>
      </c>
      <c r="B204" t="inlineStr">
        <is>
          <t>Section 3</t>
        </is>
      </c>
      <c r="C204" t="inlineStr">
        <is>
          <t>3.11 Elections</t>
        </is>
      </c>
      <c r="D204" t="inlineStr">
        <is>
          <t>Art323AssetGainLossElection</t>
        </is>
      </c>
      <c r="E204" t="inlineStr">
        <is>
          <t>Article 3.2.3 asset gain/loss election</t>
        </is>
      </c>
      <c r="F204" t="inlineStr">
        <is>
          <t>Boolean</t>
        </is>
      </c>
      <c r="G204" t="inlineStr">
        <is>
          <t>No</t>
        </is>
      </c>
      <c r="H204" t="inlineStr">
        <is>
          <t>GIR/Elections/Art323</t>
        </is>
      </c>
      <c r="I204" t="inlineStr">
        <is>
          <t>GIR Configuration</t>
        </is>
      </c>
      <c r="J204" t="inlineStr">
        <is>
          <t>Group Tax</t>
        </is>
      </c>
      <c r="K204" t="inlineStr">
        <is>
          <t>Medium</t>
        </is>
      </c>
      <c r="L204" t="inlineStr">
        <is>
          <t>True/False</t>
        </is>
      </c>
      <c r="M204" t="inlineStr">
        <is>
          <t>Realization basis</t>
        </is>
      </c>
      <c r="N204" t="inlineStr">
        <is>
          <t>Not Started</t>
        </is>
      </c>
    </row>
    <row r="205">
      <c r="A205" t="inlineStr">
        <is>
          <t>S3-114</t>
        </is>
      </c>
      <c r="B205" t="inlineStr">
        <is>
          <t>Section 3</t>
        </is>
      </c>
      <c r="C205" t="inlineStr">
        <is>
          <t>3.11 Elections</t>
        </is>
      </c>
      <c r="D205" t="inlineStr">
        <is>
          <t>QRTCElection</t>
        </is>
      </c>
      <c r="E205" t="inlineStr">
        <is>
          <t>QRTC election for tax credits</t>
        </is>
      </c>
      <c r="F205" t="inlineStr">
        <is>
          <t>Boolean</t>
        </is>
      </c>
      <c r="G205" t="inlineStr">
        <is>
          <t>No</t>
        </is>
      </c>
      <c r="H205" t="inlineStr">
        <is>
          <t>GIR/Elections/QRTC</t>
        </is>
      </c>
      <c r="I205" t="inlineStr">
        <is>
          <t>GIR Configuration</t>
        </is>
      </c>
      <c r="J205" t="inlineStr">
        <is>
          <t>Group Tax</t>
        </is>
      </c>
      <c r="K205" t="inlineStr">
        <is>
          <t>High</t>
        </is>
      </c>
      <c r="L205" t="inlineStr">
        <is>
          <t>True/False</t>
        </is>
      </c>
      <c r="M205" t="inlineStr">
        <is>
          <t>Include as income</t>
        </is>
      </c>
      <c r="N205" t="inlineStr">
        <is>
          <t>Not Started</t>
        </is>
      </c>
    </row>
    <row r="206">
      <c r="A206" t="inlineStr">
        <is>
          <t>S3-115</t>
        </is>
      </c>
      <c r="B206" t="inlineStr">
        <is>
          <t>Section 3</t>
        </is>
      </c>
      <c r="C206" t="inlineStr">
        <is>
          <t>3.11 Elections</t>
        </is>
      </c>
      <c r="D206" t="inlineStr">
        <is>
          <t>NetTaxEquityElection</t>
        </is>
      </c>
      <c r="E206" t="inlineStr">
        <is>
          <t>Net tax equity election</t>
        </is>
      </c>
      <c r="F206" t="inlineStr">
        <is>
          <t>Boolean</t>
        </is>
      </c>
      <c r="G206" t="inlineStr">
        <is>
          <t>No</t>
        </is>
      </c>
      <c r="H206" t="inlineStr">
        <is>
          <t>GIR/Elections/NetTaxEquity</t>
        </is>
      </c>
      <c r="I206" t="inlineStr">
        <is>
          <t>GIR Configuration</t>
        </is>
      </c>
      <c r="J206" t="inlineStr">
        <is>
          <t>Group Tax</t>
        </is>
      </c>
      <c r="K206" t="inlineStr">
        <is>
          <t>Medium</t>
        </is>
      </c>
      <c r="L206" t="inlineStr">
        <is>
          <t>True/False</t>
        </is>
      </c>
      <c r="M206" t="inlineStr">
        <is>
          <t>For partnerships</t>
        </is>
      </c>
      <c r="N206" t="inlineStr">
        <is>
          <t>Not Started</t>
        </is>
      </c>
    </row>
    <row r="207">
      <c r="A207" t="inlineStr">
        <is>
          <t>S3-116</t>
        </is>
      </c>
      <c r="B207" t="inlineStr">
        <is>
          <t>Section 3</t>
        </is>
      </c>
      <c r="C207" t="inlineStr">
        <is>
          <t>3.11 Elections</t>
        </is>
      </c>
      <c r="D207" t="inlineStr">
        <is>
          <t>ShortTermPortfolioElection</t>
        </is>
      </c>
      <c r="E207" t="inlineStr">
        <is>
          <t>Short-term portfolio shareholding</t>
        </is>
      </c>
      <c r="F207" t="inlineStr">
        <is>
          <t>Boolean</t>
        </is>
      </c>
      <c r="G207" t="inlineStr">
        <is>
          <t>No</t>
        </is>
      </c>
      <c r="H207" t="inlineStr">
        <is>
          <t>GIR/Elections/ShortTermPortfolio</t>
        </is>
      </c>
      <c r="I207" t="inlineStr">
        <is>
          <t>GIR Configuration</t>
        </is>
      </c>
      <c r="J207" t="inlineStr">
        <is>
          <t>Group Tax</t>
        </is>
      </c>
      <c r="K207" t="inlineStr">
        <is>
          <t>Medium</t>
        </is>
      </c>
      <c r="L207" t="inlineStr">
        <is>
          <t>True/False</t>
        </is>
      </c>
      <c r="M207" t="inlineStr">
        <is>
          <t>&lt; 1 year holdings</t>
        </is>
      </c>
      <c r="N207" t="inlineStr">
        <is>
          <t>Not Started</t>
        </is>
      </c>
    </row>
    <row r="208">
      <c r="A208" t="inlineStr">
        <is>
          <t>S3-117</t>
        </is>
      </c>
      <c r="B208" t="inlineStr">
        <is>
          <t>Section 3</t>
        </is>
      </c>
      <c r="C208" t="inlineStr">
        <is>
          <t>3.11 Elections</t>
        </is>
      </c>
      <c r="D208" t="inlineStr">
        <is>
          <t>DistributionTaxSystemElection</t>
        </is>
      </c>
      <c r="E208" t="inlineStr">
        <is>
          <t>Distribution tax system election</t>
        </is>
      </c>
      <c r="F208" t="inlineStr">
        <is>
          <t>Boolean</t>
        </is>
      </c>
      <c r="G208" t="inlineStr">
        <is>
          <t>No</t>
        </is>
      </c>
      <c r="H208" t="inlineStr">
        <is>
          <t>GIR/Elections/DistTaxSystem</t>
        </is>
      </c>
      <c r="I208" t="inlineStr">
        <is>
          <t>GIR Configuration</t>
        </is>
      </c>
      <c r="J208" t="inlineStr">
        <is>
          <t>Group Tax</t>
        </is>
      </c>
      <c r="K208" t="inlineStr">
        <is>
          <t>Medium</t>
        </is>
      </c>
      <c r="L208" t="inlineStr">
        <is>
          <t>True/False</t>
        </is>
      </c>
      <c r="M208" t="inlineStr">
        <is>
          <t>Specific jurisdictions</t>
        </is>
      </c>
      <c r="N208" t="inlineStr">
        <is>
          <t>Not Started</t>
        </is>
      </c>
    </row>
    <row r="209">
      <c r="A209" t="inlineStr">
        <is>
          <t>S3-118</t>
        </is>
      </c>
      <c r="B209" t="inlineStr">
        <is>
          <t>Section 3</t>
        </is>
      </c>
      <c r="C209" t="inlineStr">
        <is>
          <t>3.11 Elections</t>
        </is>
      </c>
      <c r="D209" t="inlineStr">
        <is>
          <t>IneligiblePaymentElection</t>
        </is>
      </c>
      <c r="E209" t="inlineStr">
        <is>
          <t>Ineligible payment election</t>
        </is>
      </c>
      <c r="F209" t="inlineStr">
        <is>
          <t>Boolean</t>
        </is>
      </c>
      <c r="G209" t="inlineStr">
        <is>
          <t>No</t>
        </is>
      </c>
      <c r="H209" t="inlineStr">
        <is>
          <t>GIR/Elections/IneligiblePayment</t>
        </is>
      </c>
      <c r="I209" t="inlineStr">
        <is>
          <t>GIR Configuration</t>
        </is>
      </c>
      <c r="J209" t="inlineStr">
        <is>
          <t>Group Tax</t>
        </is>
      </c>
      <c r="K209" t="inlineStr">
        <is>
          <t>Medium</t>
        </is>
      </c>
      <c r="L209" t="inlineStr">
        <is>
          <t>True/False</t>
        </is>
      </c>
      <c r="M209" t="inlineStr">
        <is>
          <t>Loss allocation</t>
        </is>
      </c>
      <c r="N209" t="inlineStr">
        <is>
          <t>Not Started</t>
        </is>
      </c>
    </row>
    <row r="210">
      <c r="A210" t="inlineStr">
        <is>
          <t>S3-119</t>
        </is>
      </c>
      <c r="B210" t="inlineStr">
        <is>
          <t>Section 3</t>
        </is>
      </c>
      <c r="C210" t="inlineStr">
        <is>
          <t>3.11 Elections</t>
        </is>
      </c>
      <c r="D210" t="inlineStr">
        <is>
          <t>ExcludedEntitiesElection</t>
        </is>
      </c>
      <c r="E210" t="inlineStr">
        <is>
          <t>Excluded entities election</t>
        </is>
      </c>
      <c r="F210" t="inlineStr">
        <is>
          <t>Boolean</t>
        </is>
      </c>
      <c r="G210" t="inlineStr">
        <is>
          <t>No</t>
        </is>
      </c>
      <c r="H210" t="inlineStr">
        <is>
          <t>GIR/Elections/ExcludedEntities</t>
        </is>
      </c>
      <c r="I210" t="inlineStr">
        <is>
          <t>GIR Configuration</t>
        </is>
      </c>
      <c r="J210" t="inlineStr">
        <is>
          <t>Group Tax</t>
        </is>
      </c>
      <c r="K210" t="inlineStr">
        <is>
          <t>High</t>
        </is>
      </c>
      <c r="L210" t="inlineStr">
        <is>
          <t>True/False</t>
        </is>
      </c>
      <c r="M210" t="inlineStr">
        <is>
          <t>Investment/pension</t>
        </is>
      </c>
      <c r="N210" t="inlineStr">
        <is>
          <t>Not Started</t>
        </is>
      </c>
    </row>
    <row r="211">
      <c r="A211" t="inlineStr">
        <is>
          <t>S3-120</t>
        </is>
      </c>
      <c r="B211" t="inlineStr">
        <is>
          <t>Section 3</t>
        </is>
      </c>
      <c r="C211" t="inlineStr">
        <is>
          <t>3.11 Elections</t>
        </is>
      </c>
      <c r="D211" t="inlineStr">
        <is>
          <t>ElectionEffectiveDate</t>
        </is>
      </c>
      <c r="E211" t="inlineStr">
        <is>
          <t>Date elections take effect</t>
        </is>
      </c>
      <c r="F211" t="inlineStr">
        <is>
          <t>Date</t>
        </is>
      </c>
      <c r="G211" t="inlineStr">
        <is>
          <t>Conditional</t>
        </is>
      </c>
      <c r="H211" t="inlineStr">
        <is>
          <t>GIR/Elections/EffectiveDate</t>
        </is>
      </c>
      <c r="I211" t="inlineStr">
        <is>
          <t>GIR Configuration</t>
        </is>
      </c>
      <c r="J211" t="inlineStr">
        <is>
          <t>Group Tax</t>
        </is>
      </c>
      <c r="K211" t="inlineStr">
        <is>
          <t>High</t>
        </is>
      </c>
      <c r="L211" t="inlineStr">
        <is>
          <t>Valid date format</t>
        </is>
      </c>
      <c r="M211" t="inlineStr">
        <is>
          <t>From fiscal year</t>
        </is>
      </c>
      <c r="N211" t="inlineStr">
        <is>
          <t>Not Started</t>
        </is>
      </c>
    </row>
    <row r="212">
      <c r="A212" t="inlineStr">
        <is>
          <t>S3-121</t>
        </is>
      </c>
      <c r="B212" t="inlineStr">
        <is>
          <t>Section 3</t>
        </is>
      </c>
      <c r="C212" t="inlineStr">
        <is>
          <t>3.11 Elections</t>
        </is>
      </c>
      <c r="D212" t="inlineStr">
        <is>
          <t>ElectionRevocationDate</t>
        </is>
      </c>
      <c r="E212" t="inlineStr">
        <is>
          <t>Date elections revoked</t>
        </is>
      </c>
      <c r="F212" t="inlineStr">
        <is>
          <t>Date</t>
        </is>
      </c>
      <c r="G212" t="inlineStr">
        <is>
          <t>Conditional</t>
        </is>
      </c>
      <c r="H212" t="inlineStr">
        <is>
          <t>GIR/Elections/RevocationDate</t>
        </is>
      </c>
      <c r="I212" t="inlineStr">
        <is>
          <t>GIR Configuration</t>
        </is>
      </c>
      <c r="J212" t="inlineStr">
        <is>
          <t>Group Tax</t>
        </is>
      </c>
      <c r="K212" t="inlineStr">
        <is>
          <t>Medium</t>
        </is>
      </c>
      <c r="L212" t="inlineStr">
        <is>
          <t>Valid date format</t>
        </is>
      </c>
      <c r="M212" t="inlineStr">
        <is>
          <t>If revoked</t>
        </is>
      </c>
      <c r="N212" t="inlineStr">
        <is>
          <t>Not Started</t>
        </is>
      </c>
    </row>
    <row r="213">
      <c r="A213" t="inlineStr">
        <is>
          <t>S3-122</t>
        </is>
      </c>
      <c r="B213" t="inlineStr">
        <is>
          <t>Section 3</t>
        </is>
      </c>
      <c r="C213" t="inlineStr">
        <is>
          <t>3.11 Elections</t>
        </is>
      </c>
      <c r="D213" t="inlineStr">
        <is>
          <t>ElectionBindingPeriod</t>
        </is>
      </c>
      <c r="E213" t="inlineStr">
        <is>
          <t>Binding period for elections</t>
        </is>
      </c>
      <c r="F213" t="inlineStr">
        <is>
          <t>Integer</t>
        </is>
      </c>
      <c r="G213" t="inlineStr">
        <is>
          <t>Conditional</t>
        </is>
      </c>
      <c r="H213" t="inlineStr">
        <is>
          <t>GIR/Elections/BindingPeriod</t>
        </is>
      </c>
      <c r="I213" t="inlineStr">
        <is>
          <t>Reference Data</t>
        </is>
      </c>
      <c r="J213" t="inlineStr">
        <is>
          <t>Group Tax</t>
        </is>
      </c>
      <c r="K213" t="inlineStr">
        <is>
          <t>Medium</t>
        </is>
      </c>
      <c r="L213" t="inlineStr">
        <is>
          <t>Years</t>
        </is>
      </c>
      <c r="M213" t="inlineStr">
        <is>
          <t>Usually 5</t>
        </is>
      </c>
      <c r="N213" t="inlineStr">
        <is>
          <t>Not Started</t>
        </is>
      </c>
    </row>
    <row r="214">
      <c r="A214" t="inlineStr">
        <is>
          <t>S3-123</t>
        </is>
      </c>
      <c r="B214" t="inlineStr">
        <is>
          <t>Section 3</t>
        </is>
      </c>
      <c r="C214" t="inlineStr">
        <is>
          <t>3.11 Elections</t>
        </is>
      </c>
      <c r="D214" t="inlineStr">
        <is>
          <t>ElectionDocumentation</t>
        </is>
      </c>
      <c r="E214" t="inlineStr">
        <is>
          <t>Documentation of elections</t>
        </is>
      </c>
      <c r="F214" t="inlineStr">
        <is>
          <t>String</t>
        </is>
      </c>
      <c r="G214" t="inlineStr">
        <is>
          <t>Conditional</t>
        </is>
      </c>
      <c r="H214" t="inlineStr">
        <is>
          <t>GIR/Elections/Documentation</t>
        </is>
      </c>
      <c r="I214" t="inlineStr">
        <is>
          <t>Document Management</t>
        </is>
      </c>
      <c r="J214" t="inlineStr">
        <is>
          <t>Group Tax</t>
        </is>
      </c>
      <c r="K214" t="inlineStr">
        <is>
          <t>Medium</t>
        </is>
      </c>
      <c r="L214" t="inlineStr">
        <is>
          <t>File reference</t>
        </is>
      </c>
      <c r="M214" t="inlineStr">
        <is>
          <t>Board resolution</t>
        </is>
      </c>
      <c r="N214" t="inlineStr">
        <is>
          <t>Not Started</t>
        </is>
      </c>
    </row>
    <row r="215">
      <c r="A215" t="inlineStr">
        <is>
          <t>S3-124</t>
        </is>
      </c>
      <c r="B215" t="inlineStr">
        <is>
          <t>Section 3</t>
        </is>
      </c>
      <c r="C215" t="inlineStr">
        <is>
          <t>3.11 Elections</t>
        </is>
      </c>
      <c r="D215" t="inlineStr">
        <is>
          <t>TransitionElection</t>
        </is>
      </c>
      <c r="E215" t="inlineStr">
        <is>
          <t>Transitional election applied</t>
        </is>
      </c>
      <c r="F215" t="inlineStr">
        <is>
          <t>Boolean</t>
        </is>
      </c>
      <c r="G215" t="inlineStr">
        <is>
          <t>No</t>
        </is>
      </c>
      <c r="H215" t="inlineStr">
        <is>
          <t>GIR/Elections/Transitional</t>
        </is>
      </c>
      <c r="I215" t="inlineStr">
        <is>
          <t>GIR Configuration</t>
        </is>
      </c>
      <c r="J215" t="inlineStr">
        <is>
          <t>Group Tax</t>
        </is>
      </c>
      <c r="K215" t="inlineStr">
        <is>
          <t>High</t>
        </is>
      </c>
      <c r="L215" t="inlineStr">
        <is>
          <t>True/False</t>
        </is>
      </c>
      <c r="M215" t="inlineStr">
        <is>
          <t>Initial period</t>
        </is>
      </c>
      <c r="N215" t="inlineStr">
        <is>
          <t>Not Started</t>
        </is>
      </c>
    </row>
    <row r="216">
      <c r="A216" t="inlineStr">
        <is>
          <t>S3-125</t>
        </is>
      </c>
      <c r="B216" t="inlineStr">
        <is>
          <t>Section 3</t>
        </is>
      </c>
      <c r="C216" t="inlineStr">
        <is>
          <t>3.11 Elections</t>
        </is>
      </c>
      <c r="D216" t="inlineStr">
        <is>
          <t>SBIETransitionRateElection</t>
        </is>
      </c>
      <c r="E216" t="inlineStr">
        <is>
          <t>SBIE transitional rate election</t>
        </is>
      </c>
      <c r="F216" t="inlineStr">
        <is>
          <t>Boolean</t>
        </is>
      </c>
      <c r="G216" t="inlineStr">
        <is>
          <t>No</t>
        </is>
      </c>
      <c r="H216" t="inlineStr">
        <is>
          <t>GIR/Elections/SBIETransition</t>
        </is>
      </c>
      <c r="I216" t="inlineStr">
        <is>
          <t>GIR Configuration</t>
        </is>
      </c>
      <c r="J216" t="inlineStr">
        <is>
          <t>Group Tax</t>
        </is>
      </c>
      <c r="K216" t="inlineStr">
        <is>
          <t>High</t>
        </is>
      </c>
      <c r="L216" t="inlineStr">
        <is>
          <t>True/False</t>
        </is>
      </c>
      <c r="M216" t="inlineStr">
        <is>
          <t>Higher rates</t>
        </is>
      </c>
      <c r="N216" t="inlineStr">
        <is>
          <t>Not Started</t>
        </is>
      </c>
    </row>
    <row r="217">
      <c r="A217" t="inlineStr">
        <is>
          <t>S3-126</t>
        </is>
      </c>
      <c r="B217" t="inlineStr">
        <is>
          <t>Section 3</t>
        </is>
      </c>
      <c r="C217" t="inlineStr">
        <is>
          <t>3.12 Transitional</t>
        </is>
      </c>
      <c r="D217" t="inlineStr">
        <is>
          <t>TransitionYearIndicator</t>
        </is>
      </c>
      <c r="E217" t="inlineStr">
        <is>
          <t>Is this a transition year</t>
        </is>
      </c>
      <c r="F217" t="inlineStr">
        <is>
          <t>Boolean</t>
        </is>
      </c>
      <c r="G217" t="inlineStr">
        <is>
          <t>Yes</t>
        </is>
      </c>
      <c r="H217" t="inlineStr">
        <is>
          <t>GIR/Transitional/IsTransitionYear</t>
        </is>
      </c>
      <c r="I217" t="inlineStr">
        <is>
          <t>GIR Configuration</t>
        </is>
      </c>
      <c r="J217" t="inlineStr">
        <is>
          <t>Group Tax</t>
        </is>
      </c>
      <c r="K217" t="inlineStr">
        <is>
          <t>Critical</t>
        </is>
      </c>
      <c r="L217" t="inlineStr">
        <is>
          <t>True/False</t>
        </is>
      </c>
      <c r="M217" t="inlineStr">
        <is>
          <t>First GloBE year</t>
        </is>
      </c>
      <c r="N217" t="inlineStr">
        <is>
          <t>Not Started</t>
        </is>
      </c>
    </row>
    <row r="218">
      <c r="A218" t="inlineStr">
        <is>
          <t>S3-127</t>
        </is>
      </c>
      <c r="B218" t="inlineStr">
        <is>
          <t>Section 3</t>
        </is>
      </c>
      <c r="C218" t="inlineStr">
        <is>
          <t>3.12 Transitional</t>
        </is>
      </c>
      <c r="D218" t="inlineStr">
        <is>
          <t>TransitionYearNumber</t>
        </is>
      </c>
      <c r="E218" t="inlineStr">
        <is>
          <t>Transition year number (1-10)</t>
        </is>
      </c>
      <c r="F218" t="inlineStr">
        <is>
          <t>Integer</t>
        </is>
      </c>
      <c r="G218" t="inlineStr">
        <is>
          <t>Conditional</t>
        </is>
      </c>
      <c r="H218" t="inlineStr">
        <is>
          <t>GIR/Transitional/YearNumber</t>
        </is>
      </c>
      <c r="I218" t="inlineStr">
        <is>
          <t>GIR Configuration</t>
        </is>
      </c>
      <c r="J218" t="inlineStr">
        <is>
          <t>Group Tax</t>
        </is>
      </c>
      <c r="K218" t="inlineStr">
        <is>
          <t>High</t>
        </is>
      </c>
      <c r="L218" t="inlineStr">
        <is>
          <t>1-10</t>
        </is>
      </c>
      <c r="M218" t="inlineStr">
        <is>
          <t>For rate phase-in</t>
        </is>
      </c>
      <c r="N218" t="inlineStr">
        <is>
          <t>Not Started</t>
        </is>
      </c>
    </row>
    <row r="219">
      <c r="A219" t="inlineStr">
        <is>
          <t>S3-128</t>
        </is>
      </c>
      <c r="B219" t="inlineStr">
        <is>
          <t>Section 3</t>
        </is>
      </c>
      <c r="C219" t="inlineStr">
        <is>
          <t>3.12 Transitional</t>
        </is>
      </c>
      <c r="D219" t="inlineStr">
        <is>
          <t>OpeningDTLTransition</t>
        </is>
      </c>
      <c r="E219" t="inlineStr">
        <is>
          <t>Opening DTL at transition</t>
        </is>
      </c>
      <c r="F219" t="inlineStr">
        <is>
          <t>Decimal</t>
        </is>
      </c>
      <c r="G219" t="inlineStr">
        <is>
          <t>Conditional</t>
        </is>
      </c>
      <c r="H219" t="inlineStr">
        <is>
          <t>GIR/Transitional/OpeningDTL</t>
        </is>
      </c>
      <c r="I219" t="inlineStr">
        <is>
          <t>Tax Provision</t>
        </is>
      </c>
      <c r="J219" t="inlineStr">
        <is>
          <t>Local Tax</t>
        </is>
      </c>
      <c r="K219" t="inlineStr">
        <is>
          <t>High</t>
        </is>
      </c>
      <c r="L219" t="inlineStr">
        <is>
          <t>Any value</t>
        </is>
      </c>
      <c r="M219" t="inlineStr">
        <is>
          <t>Starting position</t>
        </is>
      </c>
      <c r="N219" t="inlineStr">
        <is>
          <t>Not Started</t>
        </is>
      </c>
    </row>
    <row r="220">
      <c r="A220" t="inlineStr">
        <is>
          <t>S3-129</t>
        </is>
      </c>
      <c r="B220" t="inlineStr">
        <is>
          <t>Section 3</t>
        </is>
      </c>
      <c r="C220" t="inlineStr">
        <is>
          <t>3.12 Transitional</t>
        </is>
      </c>
      <c r="D220" t="inlineStr">
        <is>
          <t>OpeningDTATransition</t>
        </is>
      </c>
      <c r="E220" t="inlineStr">
        <is>
          <t>Opening DTA at transition</t>
        </is>
      </c>
      <c r="F220" t="inlineStr">
        <is>
          <t>Decimal</t>
        </is>
      </c>
      <c r="G220" t="inlineStr">
        <is>
          <t>Conditional</t>
        </is>
      </c>
      <c r="H220" t="inlineStr">
        <is>
          <t>GIR/Transitional/OpeningDTA</t>
        </is>
      </c>
      <c r="I220" t="inlineStr">
        <is>
          <t>Tax Provision</t>
        </is>
      </c>
      <c r="J220" t="inlineStr">
        <is>
          <t>Local Tax</t>
        </is>
      </c>
      <c r="K220" t="inlineStr">
        <is>
          <t>High</t>
        </is>
      </c>
      <c r="L220" t="inlineStr">
        <is>
          <t>Any value</t>
        </is>
      </c>
      <c r="M220" t="inlineStr">
        <is>
          <t>Starting position</t>
        </is>
      </c>
      <c r="N220" t="inlineStr">
        <is>
          <t>Not Started</t>
        </is>
      </c>
    </row>
    <row r="221">
      <c r="A221" t="inlineStr">
        <is>
          <t>S3-130</t>
        </is>
      </c>
      <c r="B221" t="inlineStr">
        <is>
          <t>Section 3</t>
        </is>
      </c>
      <c r="C221" t="inlineStr">
        <is>
          <t>3.12 Transitional</t>
        </is>
      </c>
      <c r="D221" t="inlineStr">
        <is>
          <t>GloBELossOpeningBalance</t>
        </is>
      </c>
      <c r="E221" t="inlineStr">
        <is>
          <t>Opening GloBE loss balance</t>
        </is>
      </c>
      <c r="F221" t="inlineStr">
        <is>
          <t>Decimal</t>
        </is>
      </c>
      <c r="G221" t="inlineStr">
        <is>
          <t>Conditional</t>
        </is>
      </c>
      <c r="H221" t="inlineStr">
        <is>
          <t>GIR/Transitional/OpeningLoss</t>
        </is>
      </c>
      <c r="I221" t="inlineStr">
        <is>
          <t>GIR Calculation</t>
        </is>
      </c>
      <c r="J221" t="inlineStr">
        <is>
          <t>Group Tax</t>
        </is>
      </c>
      <c r="K221" t="inlineStr">
        <is>
          <t>High</t>
        </is>
      </c>
      <c r="L221" t="inlineStr">
        <is>
          <t>&gt;= 0</t>
        </is>
      </c>
      <c r="M221" t="inlineStr">
        <is>
          <t>From prior period</t>
        </is>
      </c>
      <c r="N221" t="inlineStr">
        <is>
          <t>Not Started</t>
        </is>
      </c>
    </row>
    <row r="222">
      <c r="A222" t="inlineStr">
        <is>
          <t>S3-131</t>
        </is>
      </c>
      <c r="B222" t="inlineStr">
        <is>
          <t>Section 3</t>
        </is>
      </c>
      <c r="C222" t="inlineStr">
        <is>
          <t>3.12 Transitional</t>
        </is>
      </c>
      <c r="D222" t="inlineStr">
        <is>
          <t>TransitionalRateApplicable</t>
        </is>
      </c>
      <c r="E222" t="inlineStr">
        <is>
          <t>Transitional rates apply</t>
        </is>
      </c>
      <c r="F222" t="inlineStr">
        <is>
          <t>Boolean</t>
        </is>
      </c>
      <c r="G222" t="inlineStr">
        <is>
          <t>Yes</t>
        </is>
      </c>
      <c r="H222" t="inlineStr">
        <is>
          <t>GIR/Transitional/RatesApply</t>
        </is>
      </c>
      <c r="I222" t="inlineStr">
        <is>
          <t>GIR Configuration</t>
        </is>
      </c>
      <c r="J222" t="inlineStr">
        <is>
          <t>Group Tax</t>
        </is>
      </c>
      <c r="K222" t="inlineStr">
        <is>
          <t>High</t>
        </is>
      </c>
      <c r="L222" t="inlineStr">
        <is>
          <t>True/False</t>
        </is>
      </c>
      <c r="M222" t="inlineStr">
        <is>
          <t>SBIE phase-in</t>
        </is>
      </c>
      <c r="N222" t="inlineStr">
        <is>
          <t>Not Started</t>
        </is>
      </c>
    </row>
    <row r="223">
      <c r="A223" t="inlineStr">
        <is>
          <t>S3-132</t>
        </is>
      </c>
      <c r="B223" t="inlineStr">
        <is>
          <t>Section 3</t>
        </is>
      </c>
      <c r="C223" t="inlineStr">
        <is>
          <t>3.12 Transitional</t>
        </is>
      </c>
      <c r="D223" t="inlineStr">
        <is>
          <t>SBIEPayrollTransitionRate</t>
        </is>
      </c>
      <c r="E223" t="inlineStr">
        <is>
          <t>SBIE payroll transitional rate</t>
        </is>
      </c>
      <c r="F223" t="inlineStr">
        <is>
          <t>Decimal</t>
        </is>
      </c>
      <c r="G223" t="inlineStr">
        <is>
          <t>Conditional</t>
        </is>
      </c>
      <c r="H223" t="inlineStr">
        <is>
          <t>GIR/Transitional/PayrollRate</t>
        </is>
      </c>
      <c r="I223" t="inlineStr">
        <is>
          <t>Reference Data</t>
        </is>
      </c>
      <c r="J223" t="inlineStr">
        <is>
          <t>Group Tax</t>
        </is>
      </c>
      <c r="K223" t="inlineStr">
        <is>
          <t>High</t>
        </is>
      </c>
      <c r="L223" t="inlineStr">
        <is>
          <t>Percentage</t>
        </is>
      </c>
      <c r="M223" t="inlineStr">
        <is>
          <t>Phase-in rate</t>
        </is>
      </c>
      <c r="N223" t="inlineStr">
        <is>
          <t>Not Started</t>
        </is>
      </c>
    </row>
    <row r="224">
      <c r="A224" t="inlineStr">
        <is>
          <t>S3-133</t>
        </is>
      </c>
      <c r="B224" t="inlineStr">
        <is>
          <t>Section 3</t>
        </is>
      </c>
      <c r="C224" t="inlineStr">
        <is>
          <t>3.12 Transitional</t>
        </is>
      </c>
      <c r="D224" t="inlineStr">
        <is>
          <t>SBIETangibleTransitionRate</t>
        </is>
      </c>
      <c r="E224" t="inlineStr">
        <is>
          <t>SBIE tangible transitional rate</t>
        </is>
      </c>
      <c r="F224" t="inlineStr">
        <is>
          <t>Decimal</t>
        </is>
      </c>
      <c r="G224" t="inlineStr">
        <is>
          <t>Conditional</t>
        </is>
      </c>
      <c r="H224" t="inlineStr">
        <is>
          <t>GIR/Transitional/TangibleRate</t>
        </is>
      </c>
      <c r="I224" t="inlineStr">
        <is>
          <t>Reference Data</t>
        </is>
      </c>
      <c r="J224" t="inlineStr">
        <is>
          <t>Group Tax</t>
        </is>
      </c>
      <c r="K224" t="inlineStr">
        <is>
          <t>High</t>
        </is>
      </c>
      <c r="L224" t="inlineStr">
        <is>
          <t>Percentage</t>
        </is>
      </c>
      <c r="M224" t="inlineStr">
        <is>
          <t>Phase-in rate</t>
        </is>
      </c>
      <c r="N224" t="inlineStr">
        <is>
          <t>Not Started</t>
        </is>
      </c>
    </row>
    <row r="225">
      <c r="A225" t="inlineStr">
        <is>
          <t>S3-134</t>
        </is>
      </c>
      <c r="B225" t="inlineStr">
        <is>
          <t>Section 3</t>
        </is>
      </c>
      <c r="C225" t="inlineStr">
        <is>
          <t>3.12 Transitional</t>
        </is>
      </c>
      <c r="D225" t="inlineStr">
        <is>
          <t>TCbCRSafeHarbourAvailable</t>
        </is>
      </c>
      <c r="E225" t="inlineStr">
        <is>
          <t>TCbCR Safe Harbour available</t>
        </is>
      </c>
      <c r="F225" t="inlineStr">
        <is>
          <t>Boolean</t>
        </is>
      </c>
      <c r="G225" t="inlineStr">
        <is>
          <t>Yes</t>
        </is>
      </c>
      <c r="H225" t="inlineStr">
        <is>
          <t>GIR/Transitional/TCbCRAvailable</t>
        </is>
      </c>
      <c r="I225" t="inlineStr">
        <is>
          <t>Reference Data</t>
        </is>
      </c>
      <c r="J225" t="inlineStr">
        <is>
          <t>Group Tax</t>
        </is>
      </c>
      <c r="K225" t="inlineStr">
        <is>
          <t>High</t>
        </is>
      </c>
      <c r="L225" t="inlineStr">
        <is>
          <t>True/False</t>
        </is>
      </c>
      <c r="M225" t="inlineStr">
        <is>
          <t>Through 2026</t>
        </is>
      </c>
      <c r="N225" t="inlineStr">
        <is>
          <t>Not Started</t>
        </is>
      </c>
    </row>
    <row r="226">
      <c r="A226" t="inlineStr">
        <is>
          <t>S3-135</t>
        </is>
      </c>
      <c r="B226" t="inlineStr">
        <is>
          <t>Section 3</t>
        </is>
      </c>
      <c r="C226" t="inlineStr">
        <is>
          <t>3.12 Transitional</t>
        </is>
      </c>
      <c r="D226" t="inlineStr">
        <is>
          <t>UTPRSafeHarbourAvailable</t>
        </is>
      </c>
      <c r="E226" t="inlineStr">
        <is>
          <t>UTPR Safe Harbour available</t>
        </is>
      </c>
      <c r="F226" t="inlineStr">
        <is>
          <t>Boolean</t>
        </is>
      </c>
      <c r="G226" t="inlineStr">
        <is>
          <t>Yes</t>
        </is>
      </c>
      <c r="H226" t="inlineStr">
        <is>
          <t>GIR/Transitional/UTPRSHAvailable</t>
        </is>
      </c>
      <c r="I226" t="inlineStr">
        <is>
          <t>Reference Data</t>
        </is>
      </c>
      <c r="J226" t="inlineStr">
        <is>
          <t>Group Tax</t>
        </is>
      </c>
      <c r="K226" t="inlineStr">
        <is>
          <t>High</t>
        </is>
      </c>
      <c r="L226" t="inlineStr">
        <is>
          <t>True/False</t>
        </is>
      </c>
      <c r="M226" t="inlineStr">
        <is>
          <t>Initial periods</t>
        </is>
      </c>
      <c r="N226" t="inlineStr">
        <is>
          <t>Not Started</t>
        </is>
      </c>
    </row>
    <row r="227">
      <c r="A227" t="inlineStr">
        <is>
          <t>S3-136</t>
        </is>
      </c>
      <c r="B227" t="inlineStr">
        <is>
          <t>Section 3</t>
        </is>
      </c>
      <c r="C227" t="inlineStr">
        <is>
          <t>3.13 Misc Adj</t>
        </is>
      </c>
      <c r="D227" t="inlineStr">
        <is>
          <t>RefundableTaxCredits</t>
        </is>
      </c>
      <c r="E227" t="inlineStr">
        <is>
          <t>Refundable tax credits received</t>
        </is>
      </c>
      <c r="F227" t="inlineStr">
        <is>
          <t>Decimal</t>
        </is>
      </c>
      <c r="G227" t="inlineStr">
        <is>
          <t>Yes</t>
        </is>
      </c>
      <c r="H227" t="inlineStr">
        <is>
          <t>GIR/MiscAdj/RefundableCredits</t>
        </is>
      </c>
      <c r="I227" t="inlineStr">
        <is>
          <t>Tax Provision</t>
        </is>
      </c>
      <c r="J227" t="inlineStr">
        <is>
          <t>Local Tax</t>
        </is>
      </c>
      <c r="K227" t="inlineStr">
        <is>
          <t>High</t>
        </is>
      </c>
      <c r="L227" t="inlineStr">
        <is>
          <t>&gt;= 0</t>
        </is>
      </c>
      <c r="M227" t="inlineStr">
        <is>
          <t>Government grants</t>
        </is>
      </c>
      <c r="N227" t="inlineStr">
        <is>
          <t>Not Started</t>
        </is>
      </c>
    </row>
    <row r="228">
      <c r="A228" t="inlineStr">
        <is>
          <t>S3-137</t>
        </is>
      </c>
      <c r="B228" t="inlineStr">
        <is>
          <t>Section 3</t>
        </is>
      </c>
      <c r="C228" t="inlineStr">
        <is>
          <t>3.13 Misc Adj</t>
        </is>
      </c>
      <c r="D228" t="inlineStr">
        <is>
          <t>NonRefundableTaxCredits</t>
        </is>
      </c>
      <c r="E228" t="inlineStr">
        <is>
          <t>Non-refundable tax credits</t>
        </is>
      </c>
      <c r="F228" t="inlineStr">
        <is>
          <t>Decimal</t>
        </is>
      </c>
      <c r="G228" t="inlineStr">
        <is>
          <t>Yes</t>
        </is>
      </c>
      <c r="H228" t="inlineStr">
        <is>
          <t>GIR/MiscAdj/NonRefundableCredits</t>
        </is>
      </c>
      <c r="I228" t="inlineStr">
        <is>
          <t>Tax Provision</t>
        </is>
      </c>
      <c r="J228" t="inlineStr">
        <is>
          <t>Local Tax</t>
        </is>
      </c>
      <c r="K228" t="inlineStr">
        <is>
          <t>High</t>
        </is>
      </c>
      <c r="L228" t="inlineStr">
        <is>
          <t>&gt;= 0</t>
        </is>
      </c>
      <c r="M228" t="inlineStr">
        <is>
          <t>Reduce tax only</t>
        </is>
      </c>
      <c r="N228" t="inlineStr">
        <is>
          <t>Not Started</t>
        </is>
      </c>
    </row>
    <row r="229">
      <c r="A229" t="inlineStr">
        <is>
          <t>S3-138</t>
        </is>
      </c>
      <c r="B229" t="inlineStr">
        <is>
          <t>Section 3</t>
        </is>
      </c>
      <c r="C229" t="inlineStr">
        <is>
          <t>3.13 Misc Adj</t>
        </is>
      </c>
      <c r="D229" t="inlineStr">
        <is>
          <t>QRTCsIdentified</t>
        </is>
      </c>
      <c r="E229" t="inlineStr">
        <is>
          <t>Qualified refundable tax credits</t>
        </is>
      </c>
      <c r="F229" t="inlineStr">
        <is>
          <t>Decimal</t>
        </is>
      </c>
      <c r="G229" t="inlineStr">
        <is>
          <t>Yes</t>
        </is>
      </c>
      <c r="H229" t="inlineStr">
        <is>
          <t>GIR/MiscAdj/QRTCs</t>
        </is>
      </c>
      <c r="I229" t="inlineStr">
        <is>
          <t>GIR Calculation</t>
        </is>
      </c>
      <c r="J229" t="inlineStr">
        <is>
          <t>Group Tax</t>
        </is>
      </c>
      <c r="K229" t="inlineStr">
        <is>
          <t>High</t>
        </is>
      </c>
      <c r="L229" t="inlineStr">
        <is>
          <t>&gt;= 0</t>
        </is>
      </c>
      <c r="M229" t="inlineStr">
        <is>
          <t>Per Article 3.2.4</t>
        </is>
      </c>
      <c r="N229" t="inlineStr">
        <is>
          <t>Not Started</t>
        </is>
      </c>
    </row>
    <row r="230">
      <c r="A230" t="inlineStr">
        <is>
          <t>S3-139</t>
        </is>
      </c>
      <c r="B230" t="inlineStr">
        <is>
          <t>Section 3</t>
        </is>
      </c>
      <c r="C230" t="inlineStr">
        <is>
          <t>3.13 Misc Adj</t>
        </is>
      </c>
      <c r="D230" t="inlineStr">
        <is>
          <t>MarketableTransferableCredits</t>
        </is>
      </c>
      <c r="E230" t="inlineStr">
        <is>
          <t>Marketable transferable credits</t>
        </is>
      </c>
      <c r="F230" t="inlineStr">
        <is>
          <t>Decimal</t>
        </is>
      </c>
      <c r="G230" t="inlineStr">
        <is>
          <t>Yes</t>
        </is>
      </c>
      <c r="H230" t="inlineStr">
        <is>
          <t>GIR/MiscAdj/MTCredits</t>
        </is>
      </c>
      <c r="I230" t="inlineStr">
        <is>
          <t>GIR Calculation</t>
        </is>
      </c>
      <c r="J230" t="inlineStr">
        <is>
          <t>Group Tax</t>
        </is>
      </c>
      <c r="K230" t="inlineStr">
        <is>
          <t>High</t>
        </is>
      </c>
      <c r="L230" t="inlineStr">
        <is>
          <t>&gt;= 0</t>
        </is>
      </c>
      <c r="M230" t="inlineStr">
        <is>
          <t>QRTC treatment</t>
        </is>
      </c>
      <c r="N230" t="inlineStr">
        <is>
          <t>Not Started</t>
        </is>
      </c>
    </row>
    <row r="231">
      <c r="A231" t="inlineStr">
        <is>
          <t>S3-140</t>
        </is>
      </c>
      <c r="B231" t="inlineStr">
        <is>
          <t>Section 3</t>
        </is>
      </c>
      <c r="C231" t="inlineStr">
        <is>
          <t>3.13 Misc Adj</t>
        </is>
      </c>
      <c r="D231" t="inlineStr">
        <is>
          <t>FlowThroughEntityAdj</t>
        </is>
      </c>
      <c r="E231" t="inlineStr">
        <is>
          <t>Flow-through entity adjustments</t>
        </is>
      </c>
      <c r="F231" t="inlineStr">
        <is>
          <t>Decimal</t>
        </is>
      </c>
      <c r="G231" t="inlineStr">
        <is>
          <t>Yes</t>
        </is>
      </c>
      <c r="H231" t="inlineStr">
        <is>
          <t>GIR/MiscAdj/FlowThrough</t>
        </is>
      </c>
      <c r="I231" t="inlineStr">
        <is>
          <t>GIR Calculation</t>
        </is>
      </c>
      <c r="J231" t="inlineStr">
        <is>
          <t>Group Tax</t>
        </is>
      </c>
      <c r="K231" t="inlineStr">
        <is>
          <t>High</t>
        </is>
      </c>
      <c r="L231" t="inlineStr">
        <is>
          <t>Any value</t>
        </is>
      </c>
      <c r="M231" t="inlineStr">
        <is>
          <t>Partnership/JV</t>
        </is>
      </c>
      <c r="N231" t="inlineStr">
        <is>
          <t>Not Started</t>
        </is>
      </c>
    </row>
    <row r="232">
      <c r="A232" t="inlineStr">
        <is>
          <t>S3-141</t>
        </is>
      </c>
      <c r="B232" t="inlineStr">
        <is>
          <t>Section 3</t>
        </is>
      </c>
      <c r="C232" t="inlineStr">
        <is>
          <t>3.13 Misc Adj</t>
        </is>
      </c>
      <c r="D232" t="inlineStr">
        <is>
          <t>HybridEntityAdj</t>
        </is>
      </c>
      <c r="E232" t="inlineStr">
        <is>
          <t>Hybrid entity adjustments</t>
        </is>
      </c>
      <c r="F232" t="inlineStr">
        <is>
          <t>Decimal</t>
        </is>
      </c>
      <c r="G232" t="inlineStr">
        <is>
          <t>Yes</t>
        </is>
      </c>
      <c r="H232" t="inlineStr">
        <is>
          <t>GIR/MiscAdj/Hybrid</t>
        </is>
      </c>
      <c r="I232" t="inlineStr">
        <is>
          <t>GIR Calculation</t>
        </is>
      </c>
      <c r="J232" t="inlineStr">
        <is>
          <t>Group Tax</t>
        </is>
      </c>
      <c r="K232" t="inlineStr">
        <is>
          <t>High</t>
        </is>
      </c>
      <c r="L232" t="inlineStr">
        <is>
          <t>Any value</t>
        </is>
      </c>
      <c r="M232" t="inlineStr">
        <is>
          <t>Mismatch</t>
        </is>
      </c>
      <c r="N232" t="inlineStr">
        <is>
          <t>Not Started</t>
        </is>
      </c>
    </row>
    <row r="233">
      <c r="A233" t="inlineStr">
        <is>
          <t>S3-142</t>
        </is>
      </c>
      <c r="B233" t="inlineStr">
        <is>
          <t>Section 3</t>
        </is>
      </c>
      <c r="C233" t="inlineStr">
        <is>
          <t>3.13 Misc Adj</t>
        </is>
      </c>
      <c r="D233" t="inlineStr">
        <is>
          <t>StatelessIncomeAdj</t>
        </is>
      </c>
      <c r="E233" t="inlineStr">
        <is>
          <t>Stateless income adjustments</t>
        </is>
      </c>
      <c r="F233" t="inlineStr">
        <is>
          <t>Decimal</t>
        </is>
      </c>
      <c r="G233" t="inlineStr">
        <is>
          <t>Yes</t>
        </is>
      </c>
      <c r="H233" t="inlineStr">
        <is>
          <t>GIR/MiscAdj/Stateless</t>
        </is>
      </c>
      <c r="I233" t="inlineStr">
        <is>
          <t>GIR Calculation</t>
        </is>
      </c>
      <c r="J233" t="inlineStr">
        <is>
          <t>Group Tax</t>
        </is>
      </c>
      <c r="K233" t="inlineStr">
        <is>
          <t>Medium</t>
        </is>
      </c>
      <c r="L233" t="inlineStr">
        <is>
          <t>Any value</t>
        </is>
      </c>
      <c r="M233" t="inlineStr">
        <is>
          <t>Allocation</t>
        </is>
      </c>
      <c r="N233" t="inlineStr">
        <is>
          <t>Not Started</t>
        </is>
      </c>
    </row>
    <row r="234">
      <c r="A234" t="inlineStr">
        <is>
          <t>S3-143</t>
        </is>
      </c>
      <c r="B234" t="inlineStr">
        <is>
          <t>Section 3</t>
        </is>
      </c>
      <c r="C234" t="inlineStr">
        <is>
          <t>3.13 Misc Adj</t>
        </is>
      </c>
      <c r="D234" t="inlineStr">
        <is>
          <t>PermanentEstablishmentAdj</t>
        </is>
      </c>
      <c r="E234" t="inlineStr">
        <is>
          <t>PE income/tax adjustments</t>
        </is>
      </c>
      <c r="F234" t="inlineStr">
        <is>
          <t>Decimal</t>
        </is>
      </c>
      <c r="G234" t="inlineStr">
        <is>
          <t>Yes</t>
        </is>
      </c>
      <c r="H234" t="inlineStr">
        <is>
          <t>GIR/MiscAdj/PE</t>
        </is>
      </c>
      <c r="I234" t="inlineStr">
        <is>
          <t>GIR Calculation</t>
        </is>
      </c>
      <c r="J234" t="inlineStr">
        <is>
          <t>Group Tax</t>
        </is>
      </c>
      <c r="K234" t="inlineStr">
        <is>
          <t>High</t>
        </is>
      </c>
      <c r="L234" t="inlineStr">
        <is>
          <t>Any value</t>
        </is>
      </c>
      <c r="M234" t="inlineStr">
        <is>
          <t>Branch attribution</t>
        </is>
      </c>
      <c r="N234" t="inlineStr">
        <is>
          <t>Not Started</t>
        </is>
      </c>
    </row>
    <row r="235">
      <c r="A235" t="inlineStr">
        <is>
          <t>S3-144</t>
        </is>
      </c>
      <c r="B235" t="inlineStr">
        <is>
          <t>Section 3</t>
        </is>
      </c>
      <c r="C235" t="inlineStr">
        <is>
          <t>3.13 Misc Adj</t>
        </is>
      </c>
      <c r="D235" t="inlineStr">
        <is>
          <t>JointVentureAdj</t>
        </is>
      </c>
      <c r="E235" t="inlineStr">
        <is>
          <t>Joint venture specific adjustments</t>
        </is>
      </c>
      <c r="F235" t="inlineStr">
        <is>
          <t>Decimal</t>
        </is>
      </c>
      <c r="G235" t="inlineStr">
        <is>
          <t>Yes</t>
        </is>
      </c>
      <c r="H235" t="inlineStr">
        <is>
          <t>GIR/MiscAdj/JV</t>
        </is>
      </c>
      <c r="I235" t="inlineStr">
        <is>
          <t>GIR Calculation</t>
        </is>
      </c>
      <c r="J235" t="inlineStr">
        <is>
          <t>Group Tax</t>
        </is>
      </c>
      <c r="K235" t="inlineStr">
        <is>
          <t>High</t>
        </is>
      </c>
      <c r="L235" t="inlineStr">
        <is>
          <t>Any value</t>
        </is>
      </c>
      <c r="M235" t="inlineStr">
        <is>
          <t>MNES with JVs</t>
        </is>
      </c>
      <c r="N235" t="inlineStr">
        <is>
          <t>Not Started</t>
        </is>
      </c>
    </row>
    <row r="236">
      <c r="A236" t="inlineStr">
        <is>
          <t>S3-145</t>
        </is>
      </c>
      <c r="B236" t="inlineStr">
        <is>
          <t>Section 3</t>
        </is>
      </c>
      <c r="C236" t="inlineStr">
        <is>
          <t>3.13 Misc Adj</t>
        </is>
      </c>
      <c r="D236" t="inlineStr">
        <is>
          <t>InvestmentEntityAdj</t>
        </is>
      </c>
      <c r="E236" t="inlineStr">
        <is>
          <t>Investment entity adjustments</t>
        </is>
      </c>
      <c r="F236" t="inlineStr">
        <is>
          <t>Decimal</t>
        </is>
      </c>
      <c r="G236" t="inlineStr">
        <is>
          <t>Yes</t>
        </is>
      </c>
      <c r="H236" t="inlineStr">
        <is>
          <t>GIR/MiscAdj/InvestmentEntity</t>
        </is>
      </c>
      <c r="I236" t="inlineStr">
        <is>
          <t>GIR Calculation</t>
        </is>
      </c>
      <c r="J236" t="inlineStr">
        <is>
          <t>Group Tax</t>
        </is>
      </c>
      <c r="K236" t="inlineStr">
        <is>
          <t>Medium</t>
        </is>
      </c>
      <c r="L236" t="inlineStr">
        <is>
          <t>Any value</t>
        </is>
      </c>
      <c r="M236" t="inlineStr">
        <is>
          <t>Special rules</t>
        </is>
      </c>
      <c r="N236" t="inlineStr">
        <is>
          <t>Not Started</t>
        </is>
      </c>
    </row>
    <row r="237">
      <c r="A237" t="inlineStr">
        <is>
          <t>S3-146</t>
        </is>
      </c>
      <c r="B237" t="inlineStr">
        <is>
          <t>Section 3</t>
        </is>
      </c>
      <c r="C237" t="inlineStr">
        <is>
          <t>3.13 Misc Adj</t>
        </is>
      </c>
      <c r="D237" t="inlineStr">
        <is>
          <t>InsuranceEntityAdj</t>
        </is>
      </c>
      <c r="E237" t="inlineStr">
        <is>
          <t>Insurance entity adjustments</t>
        </is>
      </c>
      <c r="F237" t="inlineStr">
        <is>
          <t>Decimal</t>
        </is>
      </c>
      <c r="G237" t="inlineStr">
        <is>
          <t>Yes</t>
        </is>
      </c>
      <c r="H237" t="inlineStr">
        <is>
          <t>GIR/MiscAdj/Insurance</t>
        </is>
      </c>
      <c r="I237" t="inlineStr">
        <is>
          <t>GIR Calculation</t>
        </is>
      </c>
      <c r="J237" t="inlineStr">
        <is>
          <t>Group Tax</t>
        </is>
      </c>
      <c r="K237" t="inlineStr">
        <is>
          <t>Medium</t>
        </is>
      </c>
      <c r="L237" t="inlineStr">
        <is>
          <t>Any value</t>
        </is>
      </c>
      <c r="M237" t="inlineStr">
        <is>
          <t>Technical provisions</t>
        </is>
      </c>
      <c r="N237" t="inlineStr">
        <is>
          <t>Not Started</t>
        </is>
      </c>
    </row>
    <row r="238">
      <c r="A238" t="inlineStr">
        <is>
          <t>S3-147</t>
        </is>
      </c>
      <c r="B238" t="inlineStr">
        <is>
          <t>Section 3</t>
        </is>
      </c>
      <c r="C238" t="inlineStr">
        <is>
          <t>3.13 Misc Adj</t>
        </is>
      </c>
      <c r="D238" t="inlineStr">
        <is>
          <t>ReorganizationAdj</t>
        </is>
      </c>
      <c r="E238" t="inlineStr">
        <is>
          <t>Corporate reorganization adjustments</t>
        </is>
      </c>
      <c r="F238" t="inlineStr">
        <is>
          <t>Decimal</t>
        </is>
      </c>
      <c r="G238" t="inlineStr">
        <is>
          <t>Yes</t>
        </is>
      </c>
      <c r="H238" t="inlineStr">
        <is>
          <t>GIR/MiscAdj/Reorg</t>
        </is>
      </c>
      <c r="I238" t="inlineStr">
        <is>
          <t>GIR Calculation</t>
        </is>
      </c>
      <c r="J238" t="inlineStr">
        <is>
          <t>Group Tax</t>
        </is>
      </c>
      <c r="K238" t="inlineStr">
        <is>
          <t>High</t>
        </is>
      </c>
      <c r="L238" t="inlineStr">
        <is>
          <t>Any value</t>
        </is>
      </c>
      <c r="M238" t="inlineStr">
        <is>
          <t>M&amp;A impacts</t>
        </is>
      </c>
      <c r="N238" t="inlineStr">
        <is>
          <t>Not Started</t>
        </is>
      </c>
    </row>
    <row r="239">
      <c r="A239" t="inlineStr">
        <is>
          <t>S3-148</t>
        </is>
      </c>
      <c r="B239" t="inlineStr">
        <is>
          <t>Section 3</t>
        </is>
      </c>
      <c r="C239" t="inlineStr">
        <is>
          <t>3.13 Misc Adj</t>
        </is>
      </c>
      <c r="D239" t="inlineStr">
        <is>
          <t>DisposalAdjustments</t>
        </is>
      </c>
      <c r="E239" t="inlineStr">
        <is>
          <t>Disposal event adjustments</t>
        </is>
      </c>
      <c r="F239" t="inlineStr">
        <is>
          <t>Decimal</t>
        </is>
      </c>
      <c r="G239" t="inlineStr">
        <is>
          <t>Yes</t>
        </is>
      </c>
      <c r="H239" t="inlineStr">
        <is>
          <t>GIR/MiscAdj/Disposal</t>
        </is>
      </c>
      <c r="I239" t="inlineStr">
        <is>
          <t>GIR Calculation</t>
        </is>
      </c>
      <c r="J239" t="inlineStr">
        <is>
          <t>Group Tax</t>
        </is>
      </c>
      <c r="K239" t="inlineStr">
        <is>
          <t>High</t>
        </is>
      </c>
      <c r="L239" t="inlineStr">
        <is>
          <t>Any value</t>
        </is>
      </c>
      <c r="M239" t="inlineStr">
        <is>
          <t>Exit events</t>
        </is>
      </c>
      <c r="N239" t="inlineStr">
        <is>
          <t>Not Started</t>
        </is>
      </c>
    </row>
    <row r="240">
      <c r="A240" t="inlineStr">
        <is>
          <t>S3-149</t>
        </is>
      </c>
      <c r="B240" t="inlineStr">
        <is>
          <t>Section 3</t>
        </is>
      </c>
      <c r="C240" t="inlineStr">
        <is>
          <t>3.13 Misc Adj</t>
        </is>
      </c>
      <c r="D240" t="inlineStr">
        <is>
          <t>CurrencyTranslationAdj</t>
        </is>
      </c>
      <c r="E240" t="inlineStr">
        <is>
          <t>Currency translation adjustments</t>
        </is>
      </c>
      <c r="F240" t="inlineStr">
        <is>
          <t>Decimal</t>
        </is>
      </c>
      <c r="G240" t="inlineStr">
        <is>
          <t>Yes</t>
        </is>
      </c>
      <c r="H240" t="inlineStr">
        <is>
          <t>GIR/MiscAdj/Currency</t>
        </is>
      </c>
      <c r="I240" t="inlineStr">
        <is>
          <t>GIR Calculation</t>
        </is>
      </c>
      <c r="J240" t="inlineStr">
        <is>
          <t>Group Tax</t>
        </is>
      </c>
      <c r="K240" t="inlineStr">
        <is>
          <t>Medium</t>
        </is>
      </c>
      <c r="L240" t="inlineStr">
        <is>
          <t>Any value</t>
        </is>
      </c>
      <c r="M240" t="inlineStr">
        <is>
          <t>FX impacts</t>
        </is>
      </c>
      <c r="N240" t="inlineStr">
        <is>
          <t>Not Started</t>
        </is>
      </c>
    </row>
    <row r="241">
      <c r="A241" t="inlineStr">
        <is>
          <t>S3-150</t>
        </is>
      </c>
      <c r="B241" t="inlineStr">
        <is>
          <t>Section 3</t>
        </is>
      </c>
      <c r="C241" t="inlineStr">
        <is>
          <t>3.13 Misc Adj</t>
        </is>
      </c>
      <c r="D241" t="inlineStr">
        <is>
          <t>OtherAdjustments</t>
        </is>
      </c>
      <c r="E241" t="inlineStr">
        <is>
          <t>Other miscellaneous adjustments</t>
        </is>
      </c>
      <c r="F241" t="inlineStr">
        <is>
          <t>Decimal</t>
        </is>
      </c>
      <c r="G241" t="inlineStr">
        <is>
          <t>Yes</t>
        </is>
      </c>
      <c r="H241" t="inlineStr">
        <is>
          <t>GIR/MiscAdj/Other</t>
        </is>
      </c>
      <c r="I241" t="inlineStr">
        <is>
          <t>GIR Calculation</t>
        </is>
      </c>
      <c r="J241" t="inlineStr">
        <is>
          <t>Group Tax</t>
        </is>
      </c>
      <c r="K241" t="inlineStr">
        <is>
          <t>Medium</t>
        </is>
      </c>
      <c r="L241" t="inlineStr">
        <is>
          <t>Any value</t>
        </is>
      </c>
      <c r="M241" t="inlineStr">
        <is>
          <t>Catch-all</t>
        </is>
      </c>
      <c r="N241" t="inlineStr">
        <is>
          <t>Not Started</t>
        </is>
      </c>
    </row>
    <row r="242">
      <c r="A242" t="inlineStr">
        <is>
          <t>S3-151</t>
        </is>
      </c>
      <c r="B242" t="inlineStr">
        <is>
          <t>Section 3</t>
        </is>
      </c>
      <c r="C242" t="inlineStr">
        <is>
          <t>3.14 Intl Shipping</t>
        </is>
      </c>
      <c r="D242" t="inlineStr">
        <is>
          <t>InternationalShippingIncome</t>
        </is>
      </c>
      <c r="E242" t="inlineStr">
        <is>
          <t>Gross international shipping income</t>
        </is>
      </c>
      <c r="F242" t="inlineStr">
        <is>
          <t>Decimal</t>
        </is>
      </c>
      <c r="G242" t="inlineStr">
        <is>
          <t>Yes</t>
        </is>
      </c>
      <c r="H242" t="inlineStr">
        <is>
          <t>GIR/IntlShipping/GrossIncome</t>
        </is>
      </c>
      <c r="I242" t="inlineStr">
        <is>
          <t>Financial System</t>
        </is>
      </c>
      <c r="J242" t="inlineStr">
        <is>
          <t>Local Finance</t>
        </is>
      </c>
      <c r="K242" t="inlineStr">
        <is>
          <t>High</t>
        </is>
      </c>
      <c r="L242" t="inlineStr">
        <is>
          <t>&gt;= 0</t>
        </is>
      </c>
      <c r="M242" t="inlineStr">
        <is>
          <t>Article 3.3</t>
        </is>
      </c>
      <c r="N242" t="inlineStr">
        <is>
          <t>Not Started</t>
        </is>
      </c>
    </row>
    <row r="243">
      <c r="A243" t="inlineStr">
        <is>
          <t>S3-152</t>
        </is>
      </c>
      <c r="B243" t="inlineStr">
        <is>
          <t>Section 3</t>
        </is>
      </c>
      <c r="C243" t="inlineStr">
        <is>
          <t>3.14 Intl Shipping</t>
        </is>
      </c>
      <c r="D243" t="inlineStr">
        <is>
          <t>ShippingIncomeExcluded</t>
        </is>
      </c>
      <c r="E243" t="inlineStr">
        <is>
          <t>Shipping income excluded from GloBE</t>
        </is>
      </c>
      <c r="F243" t="inlineStr">
        <is>
          <t>Decimal</t>
        </is>
      </c>
      <c r="G243" t="inlineStr">
        <is>
          <t>Yes</t>
        </is>
      </c>
      <c r="H243" t="inlineStr">
        <is>
          <t>GIR/IntlShipping/Excluded</t>
        </is>
      </c>
      <c r="I243" t="inlineStr">
        <is>
          <t>GIR Calculation</t>
        </is>
      </c>
      <c r="J243" t="inlineStr">
        <is>
          <t>Group Tax</t>
        </is>
      </c>
      <c r="K243" t="inlineStr">
        <is>
          <t>High</t>
        </is>
      </c>
      <c r="L243" t="inlineStr">
        <is>
          <t>&gt;= 0</t>
        </is>
      </c>
      <c r="M243" t="inlineStr">
        <is>
          <t>Qualifying amount</t>
        </is>
      </c>
      <c r="N243" t="inlineStr">
        <is>
          <t>Not Started</t>
        </is>
      </c>
    </row>
    <row r="244">
      <c r="A244" t="inlineStr">
        <is>
          <t>S3-153</t>
        </is>
      </c>
      <c r="B244" t="inlineStr">
        <is>
          <t>Section 3</t>
        </is>
      </c>
      <c r="C244" t="inlineStr">
        <is>
          <t>3.14 Intl Shipping</t>
        </is>
      </c>
      <c r="D244" t="inlineStr">
        <is>
          <t>QualifyingShipsOperation</t>
        </is>
      </c>
      <c r="E244" t="inlineStr">
        <is>
          <t>Qualifies as ship operation</t>
        </is>
      </c>
      <c r="F244" t="inlineStr">
        <is>
          <t>Boolean</t>
        </is>
      </c>
      <c r="G244" t="inlineStr">
        <is>
          <t>Yes</t>
        </is>
      </c>
      <c r="H244" t="inlineStr">
        <is>
          <t>GIR/IntlShipping/Qualifies</t>
        </is>
      </c>
      <c r="I244" t="inlineStr">
        <is>
          <t>GIR Analysis</t>
        </is>
      </c>
      <c r="J244" t="inlineStr">
        <is>
          <t>Group Tax</t>
        </is>
      </c>
      <c r="K244" t="inlineStr">
        <is>
          <t>High</t>
        </is>
      </c>
      <c r="L244" t="inlineStr">
        <is>
          <t>True/False</t>
        </is>
      </c>
      <c r="M244" t="inlineStr">
        <is>
          <t>Strategic management</t>
        </is>
      </c>
      <c r="N244" t="inlineStr">
        <is>
          <t>Not Started</t>
        </is>
      </c>
    </row>
    <row r="245">
      <c r="A245" t="inlineStr">
        <is>
          <t>S3-154</t>
        </is>
      </c>
      <c r="B245" t="inlineStr">
        <is>
          <t>Section 3</t>
        </is>
      </c>
      <c r="C245" t="inlineStr">
        <is>
          <t>3.14 Intl Shipping</t>
        </is>
      </c>
      <c r="D245" t="inlineStr">
        <is>
          <t>ShippingVesselsCount</t>
        </is>
      </c>
      <c r="E245" t="inlineStr">
        <is>
          <t>Number of qualifying vessels</t>
        </is>
      </c>
      <c r="F245" t="inlineStr">
        <is>
          <t>Integer</t>
        </is>
      </c>
      <c r="G245" t="inlineStr">
        <is>
          <t>Conditional</t>
        </is>
      </c>
      <c r="H245" t="inlineStr">
        <is>
          <t>GIR/IntlShipping/VesselCount</t>
        </is>
      </c>
      <c r="I245" t="inlineStr">
        <is>
          <t>Financial System</t>
        </is>
      </c>
      <c r="J245" t="inlineStr">
        <is>
          <t>Local Finance</t>
        </is>
      </c>
      <c r="K245" t="inlineStr">
        <is>
          <t>Medium</t>
        </is>
      </c>
      <c r="L245" t="inlineStr">
        <is>
          <t>Positive integer</t>
        </is>
      </c>
      <c r="M245" t="inlineStr">
        <is>
          <t>For verification</t>
        </is>
      </c>
      <c r="N245" t="inlineStr">
        <is>
          <t>Not Started</t>
        </is>
      </c>
    </row>
    <row r="246">
      <c r="A246" t="inlineStr">
        <is>
          <t>S3-155</t>
        </is>
      </c>
      <c r="B246" t="inlineStr">
        <is>
          <t>Section 3</t>
        </is>
      </c>
      <c r="C246" t="inlineStr">
        <is>
          <t>3.14 Intl Shipping</t>
        </is>
      </c>
      <c r="D246" t="inlineStr">
        <is>
          <t>ShippingGrossTonnage</t>
        </is>
      </c>
      <c r="E246" t="inlineStr">
        <is>
          <t>Gross tonnage of fleet</t>
        </is>
      </c>
      <c r="F246" t="inlineStr">
        <is>
          <t>Decimal</t>
        </is>
      </c>
      <c r="G246" t="inlineStr">
        <is>
          <t>Conditional</t>
        </is>
      </c>
      <c r="H246" t="inlineStr">
        <is>
          <t>GIR/IntlShipping/GrossTonnage</t>
        </is>
      </c>
      <c r="I246" t="inlineStr">
        <is>
          <t>Financial System</t>
        </is>
      </c>
      <c r="J246" t="inlineStr">
        <is>
          <t>Local Finance</t>
        </is>
      </c>
      <c r="K246" t="inlineStr">
        <is>
          <t>Medium</t>
        </is>
      </c>
      <c r="L246" t="inlineStr">
        <is>
          <t>&gt;= 0</t>
        </is>
      </c>
      <c r="M246" t="inlineStr">
        <is>
          <t>Measurement</t>
        </is>
      </c>
      <c r="N246" t="inlineStr">
        <is>
          <t>Not Started</t>
        </is>
      </c>
    </row>
    <row r="247">
      <c r="A247" t="inlineStr">
        <is>
          <t>S3-156</t>
        </is>
      </c>
      <c r="B247" t="inlineStr">
        <is>
          <t>Section 3</t>
        </is>
      </c>
      <c r="C247" t="inlineStr">
        <is>
          <t>3.14 Intl Shipping</t>
        </is>
      </c>
      <c r="D247" t="inlineStr">
        <is>
          <t>AncillaryShippingIncome</t>
        </is>
      </c>
      <c r="E247" t="inlineStr">
        <is>
          <t>Ancillary shipping income</t>
        </is>
      </c>
      <c r="F247" t="inlineStr">
        <is>
          <t>Decimal</t>
        </is>
      </c>
      <c r="G247" t="inlineStr">
        <is>
          <t>Yes</t>
        </is>
      </c>
      <c r="H247" t="inlineStr">
        <is>
          <t>GIR/IntlShipping/Ancillary</t>
        </is>
      </c>
      <c r="I247" t="inlineStr">
        <is>
          <t>Financial System</t>
        </is>
      </c>
      <c r="J247" t="inlineStr">
        <is>
          <t>Local Finance</t>
        </is>
      </c>
      <c r="K247" t="inlineStr">
        <is>
          <t>Medium</t>
        </is>
      </c>
      <c r="L247" t="inlineStr">
        <is>
          <t>&gt;= 0</t>
        </is>
      </c>
      <c r="M247" t="inlineStr">
        <is>
          <t>Related activities</t>
        </is>
      </c>
      <c r="N247" t="inlineStr">
        <is>
          <t>Not Started</t>
        </is>
      </c>
    </row>
    <row r="248">
      <c r="A248" t="inlineStr">
        <is>
          <t>S3-157</t>
        </is>
      </c>
      <c r="B248" t="inlineStr">
        <is>
          <t>Section 3</t>
        </is>
      </c>
      <c r="C248" t="inlineStr">
        <is>
          <t>3.14 Intl Shipping</t>
        </is>
      </c>
      <c r="D248" t="inlineStr">
        <is>
          <t>ShippingTaxRegime</t>
        </is>
      </c>
      <c r="E248" t="inlineStr">
        <is>
          <t>Special shipping tax regime</t>
        </is>
      </c>
      <c r="F248" t="inlineStr">
        <is>
          <t>Boolean</t>
        </is>
      </c>
      <c r="G248" t="inlineStr">
        <is>
          <t>Yes</t>
        </is>
      </c>
      <c r="H248" t="inlineStr">
        <is>
          <t>GIR/IntlShipping/SpecialRegime</t>
        </is>
      </c>
      <c r="I248" t="inlineStr">
        <is>
          <t>Reference Data</t>
        </is>
      </c>
      <c r="J248" t="inlineStr">
        <is>
          <t>Group Tax</t>
        </is>
      </c>
      <c r="K248" t="inlineStr">
        <is>
          <t>Medium</t>
        </is>
      </c>
      <c r="L248" t="inlineStr">
        <is>
          <t>True/False</t>
        </is>
      </c>
      <c r="M248" t="inlineStr">
        <is>
          <t>Tonnage tax etc</t>
        </is>
      </c>
      <c r="N248" t="inlineStr">
        <is>
          <t>Not Started</t>
        </is>
      </c>
    </row>
    <row r="249">
      <c r="A249" t="inlineStr">
        <is>
          <t>S3-158</t>
        </is>
      </c>
      <c r="B249" t="inlineStr">
        <is>
          <t>Section 3</t>
        </is>
      </c>
      <c r="C249" t="inlineStr">
        <is>
          <t>3.14 Intl Shipping</t>
        </is>
      </c>
      <c r="D249" t="inlineStr">
        <is>
          <t>ShippingTaxAmount</t>
        </is>
      </c>
      <c r="E249" t="inlineStr">
        <is>
          <t>Tax under shipping regime</t>
        </is>
      </c>
      <c r="F249" t="inlineStr">
        <is>
          <t>Decimal</t>
        </is>
      </c>
      <c r="G249" t="inlineStr">
        <is>
          <t>Conditional</t>
        </is>
      </c>
      <c r="H249" t="inlineStr">
        <is>
          <t>GIR/IntlShipping/TaxAmount</t>
        </is>
      </c>
      <c r="I249" t="inlineStr">
        <is>
          <t>Tax Provision</t>
        </is>
      </c>
      <c r="J249" t="inlineStr">
        <is>
          <t>Local Tax</t>
        </is>
      </c>
      <c r="K249" t="inlineStr">
        <is>
          <t>Medium</t>
        </is>
      </c>
      <c r="L249" t="inlineStr">
        <is>
          <t>&gt;= 0</t>
        </is>
      </c>
      <c r="M249" t="inlineStr">
        <is>
          <t>If special regime</t>
        </is>
      </c>
      <c r="N249" t="inlineStr">
        <is>
          <t>Not Started</t>
        </is>
      </c>
    </row>
    <row r="250">
      <c r="A250" t="inlineStr">
        <is>
          <t>S3-159</t>
        </is>
      </c>
      <c r="B250" t="inlineStr">
        <is>
          <t>Section 3</t>
        </is>
      </c>
      <c r="C250" t="inlineStr">
        <is>
          <t>3.14 Intl Shipping</t>
        </is>
      </c>
      <c r="D250" t="inlineStr">
        <is>
          <t>ShippingExclusionCapped</t>
        </is>
      </c>
      <c r="E250" t="inlineStr">
        <is>
          <t>Shipping exclusion capped</t>
        </is>
      </c>
      <c r="F250" t="inlineStr">
        <is>
          <t>Boolean</t>
        </is>
      </c>
      <c r="G250" t="inlineStr">
        <is>
          <t>Yes</t>
        </is>
      </c>
      <c r="H250" t="inlineStr">
        <is>
          <t>GIR/IntlShipping/Capped</t>
        </is>
      </c>
      <c r="I250" t="inlineStr">
        <is>
          <t>GIR Calculation</t>
        </is>
      </c>
      <c r="J250" t="inlineStr">
        <is>
          <t>Group Tax</t>
        </is>
      </c>
      <c r="K250" t="inlineStr">
        <is>
          <t>Medium</t>
        </is>
      </c>
      <c r="L250" t="inlineStr">
        <is>
          <t>True/False</t>
        </is>
      </c>
      <c r="M250" t="inlineStr">
        <is>
          <t>Cap rules</t>
        </is>
      </c>
      <c r="N250" t="inlineStr">
        <is>
          <t>Not Started</t>
        </is>
      </c>
    </row>
    <row r="251">
      <c r="A251" t="inlineStr">
        <is>
          <t>S3-160</t>
        </is>
      </c>
      <c r="B251" t="inlineStr">
        <is>
          <t>Section 3</t>
        </is>
      </c>
      <c r="C251" t="inlineStr">
        <is>
          <t>3.14 Intl Shipping</t>
        </is>
      </c>
      <c r="D251" t="inlineStr">
        <is>
          <t>ShippingCappedAmount</t>
        </is>
      </c>
      <c r="E251" t="inlineStr">
        <is>
          <t>Amount if capped</t>
        </is>
      </c>
      <c r="F251" t="inlineStr">
        <is>
          <t>Decimal</t>
        </is>
      </c>
      <c r="G251" t="inlineStr">
        <is>
          <t>Conditional</t>
        </is>
      </c>
      <c r="H251" t="inlineStr">
        <is>
          <t>GIR/IntlShipping/CappedAmt</t>
        </is>
      </c>
      <c r="I251" t="inlineStr">
        <is>
          <t>GIR Calculation</t>
        </is>
      </c>
      <c r="J251" t="inlineStr">
        <is>
          <t>Group Tax</t>
        </is>
      </c>
      <c r="K251" t="inlineStr">
        <is>
          <t>Medium</t>
        </is>
      </c>
      <c r="L251" t="inlineStr">
        <is>
          <t>&gt;= 0</t>
        </is>
      </c>
      <c r="M251" t="inlineStr">
        <is>
          <t>If capped</t>
        </is>
      </c>
      <c r="N251" t="inlineStr">
        <is>
          <t>Not Started</t>
        </is>
      </c>
    </row>
    <row r="252">
      <c r="A252" t="inlineStr">
        <is>
          <t>S3-161</t>
        </is>
      </c>
      <c r="B252" t="inlineStr">
        <is>
          <t>Section 3</t>
        </is>
      </c>
      <c r="C252" t="inlineStr">
        <is>
          <t>3.15 Multi-Parent</t>
        </is>
      </c>
      <c r="D252" t="inlineStr">
        <is>
          <t>MultiParentedStructure</t>
        </is>
      </c>
      <c r="E252" t="inlineStr">
        <is>
          <t>Is multi-parented MNE structure</t>
        </is>
      </c>
      <c r="F252" t="inlineStr">
        <is>
          <t>Boolean</t>
        </is>
      </c>
      <c r="G252" t="inlineStr">
        <is>
          <t>Yes</t>
        </is>
      </c>
      <c r="H252" t="inlineStr">
        <is>
          <t>GIR/MultiParent/Applies</t>
        </is>
      </c>
      <c r="I252" t="inlineStr">
        <is>
          <t>GIR Analysis</t>
        </is>
      </c>
      <c r="J252" t="inlineStr">
        <is>
          <t>Group Tax</t>
        </is>
      </c>
      <c r="K252" t="inlineStr">
        <is>
          <t>High</t>
        </is>
      </c>
      <c r="L252" t="inlineStr">
        <is>
          <t>True/False</t>
        </is>
      </c>
      <c r="M252" t="inlineStr">
        <is>
          <t>Stapled structures</t>
        </is>
      </c>
      <c r="N252" t="inlineStr">
        <is>
          <t>Not Started</t>
        </is>
      </c>
    </row>
    <row r="253">
      <c r="A253" t="inlineStr">
        <is>
          <t>S3-162</t>
        </is>
      </c>
      <c r="B253" t="inlineStr">
        <is>
          <t>Section 3</t>
        </is>
      </c>
      <c r="C253" t="inlineStr">
        <is>
          <t>3.15 Multi-Parent</t>
        </is>
      </c>
      <c r="D253" t="inlineStr">
        <is>
          <t>StapledStructure</t>
        </is>
      </c>
      <c r="E253" t="inlineStr">
        <is>
          <t>Stapled structure applies</t>
        </is>
      </c>
      <c r="F253" t="inlineStr">
        <is>
          <t>Boolean</t>
        </is>
      </c>
      <c r="G253" t="inlineStr">
        <is>
          <t>Conditional</t>
        </is>
      </c>
      <c r="H253" t="inlineStr">
        <is>
          <t>GIR/MultiParent/Stapled</t>
        </is>
      </c>
      <c r="I253" t="inlineStr">
        <is>
          <t>GIR Analysis</t>
        </is>
      </c>
      <c r="J253" t="inlineStr">
        <is>
          <t>Group Tax</t>
        </is>
      </c>
      <c r="K253" t="inlineStr">
        <is>
          <t>High</t>
        </is>
      </c>
      <c r="L253" t="inlineStr">
        <is>
          <t>True/False</t>
        </is>
      </c>
      <c r="M253" t="inlineStr">
        <is>
          <t>If multi-parented</t>
        </is>
      </c>
      <c r="N253" t="inlineStr">
        <is>
          <t>Not Started</t>
        </is>
      </c>
    </row>
    <row r="254">
      <c r="A254" t="inlineStr">
        <is>
          <t>S3-163</t>
        </is>
      </c>
      <c r="B254" t="inlineStr">
        <is>
          <t>Section 3</t>
        </is>
      </c>
      <c r="C254" t="inlineStr">
        <is>
          <t>3.15 Multi-Parent</t>
        </is>
      </c>
      <c r="D254" t="inlineStr">
        <is>
          <t>DualListedArrangement</t>
        </is>
      </c>
      <c r="E254" t="inlineStr">
        <is>
          <t>Dual-listed arrangement</t>
        </is>
      </c>
      <c r="F254" t="inlineStr">
        <is>
          <t>Boolean</t>
        </is>
      </c>
      <c r="G254" t="inlineStr">
        <is>
          <t>Conditional</t>
        </is>
      </c>
      <c r="H254" t="inlineStr">
        <is>
          <t>GIR/MultiParent/DualListed</t>
        </is>
      </c>
      <c r="I254" t="inlineStr">
        <is>
          <t>GIR Analysis</t>
        </is>
      </c>
      <c r="J254" t="inlineStr">
        <is>
          <t>Group Tax</t>
        </is>
      </c>
      <c r="K254" t="inlineStr">
        <is>
          <t>High</t>
        </is>
      </c>
      <c r="L254" t="inlineStr">
        <is>
          <t>True/False</t>
        </is>
      </c>
      <c r="M254" t="inlineStr">
        <is>
          <t>If multi-parented</t>
        </is>
      </c>
      <c r="N254" t="inlineStr">
        <is>
          <t>Not Started</t>
        </is>
      </c>
    </row>
    <row r="255">
      <c r="A255" t="inlineStr">
        <is>
          <t>S3-164</t>
        </is>
      </c>
      <c r="B255" t="inlineStr">
        <is>
          <t>Section 3</t>
        </is>
      </c>
      <c r="C255" t="inlineStr">
        <is>
          <t>3.15 Multi-Parent</t>
        </is>
      </c>
      <c r="D255" t="inlineStr">
        <is>
          <t>InclusiveOwnershipTest</t>
        </is>
      </c>
      <c r="E255" t="inlineStr">
        <is>
          <t>Inclusive ownership test met</t>
        </is>
      </c>
      <c r="F255" t="inlineStr">
        <is>
          <t>Boolean</t>
        </is>
      </c>
      <c r="G255" t="inlineStr">
        <is>
          <t>Conditional</t>
        </is>
      </c>
      <c r="H255" t="inlineStr">
        <is>
          <t>GIR/MultiParent/InclusiveTest</t>
        </is>
      </c>
      <c r="I255" t="inlineStr">
        <is>
          <t>GIR Analysis</t>
        </is>
      </c>
      <c r="J255" t="inlineStr">
        <is>
          <t>Group Tax</t>
        </is>
      </c>
      <c r="K255" t="inlineStr">
        <is>
          <t>High</t>
        </is>
      </c>
      <c r="L255" t="inlineStr">
        <is>
          <t>True/False</t>
        </is>
      </c>
      <c r="M255" t="inlineStr">
        <is>
          <t>Combined control</t>
        </is>
      </c>
      <c r="N255" t="inlineStr">
        <is>
          <t>Not Started</t>
        </is>
      </c>
    </row>
    <row r="256">
      <c r="A256" t="inlineStr">
        <is>
          <t>S3-165</t>
        </is>
      </c>
      <c r="B256" t="inlineStr">
        <is>
          <t>Section 3</t>
        </is>
      </c>
      <c r="C256" t="inlineStr">
        <is>
          <t>3.15 Multi-Parent</t>
        </is>
      </c>
      <c r="D256" t="inlineStr">
        <is>
          <t>SplitOwnershipRules</t>
        </is>
      </c>
      <c r="E256" t="inlineStr">
        <is>
          <t>Split ownership rules apply</t>
        </is>
      </c>
      <c r="F256" t="inlineStr">
        <is>
          <t>Boolean</t>
        </is>
      </c>
      <c r="G256" t="inlineStr">
        <is>
          <t>Conditional</t>
        </is>
      </c>
      <c r="H256" t="inlineStr">
        <is>
          <t>GIR/MultiParent/SplitOwnership</t>
        </is>
      </c>
      <c r="I256" t="inlineStr">
        <is>
          <t>GIR Calculation</t>
        </is>
      </c>
      <c r="J256" t="inlineStr">
        <is>
          <t>Group Tax</t>
        </is>
      </c>
      <c r="K256" t="inlineStr">
        <is>
          <t>High</t>
        </is>
      </c>
      <c r="L256" t="inlineStr">
        <is>
          <t>True/False</t>
        </is>
      </c>
      <c r="M256" t="inlineStr">
        <is>
          <t>Allocation impacts</t>
        </is>
      </c>
      <c r="N256" t="inlineStr">
        <is>
          <t>Not Started</t>
        </is>
      </c>
    </row>
    <row r="257">
      <c r="A257" t="inlineStr">
        <is>
          <t>S3-166</t>
        </is>
      </c>
      <c r="B257" t="inlineStr">
        <is>
          <t>Section 3</t>
        </is>
      </c>
      <c r="C257" t="inlineStr">
        <is>
          <t>3.16 Minority-Owned</t>
        </is>
      </c>
      <c r="D257" t="inlineStr">
        <is>
          <t>MinorityOwnedCECount</t>
        </is>
      </c>
      <c r="E257" t="inlineStr">
        <is>
          <t>Number of minority-owned CEs</t>
        </is>
      </c>
      <c r="F257" t="inlineStr">
        <is>
          <t>Integer</t>
        </is>
      </c>
      <c r="G257" t="inlineStr">
        <is>
          <t>Yes</t>
        </is>
      </c>
      <c r="H257" t="inlineStr">
        <is>
          <t>GIR/MinorityOwned/Count</t>
        </is>
      </c>
      <c r="I257" t="inlineStr">
        <is>
          <t>Legal Entity Master</t>
        </is>
      </c>
      <c r="J257" t="inlineStr">
        <is>
          <t>Group Tax</t>
        </is>
      </c>
      <c r="K257" t="inlineStr">
        <is>
          <t>Medium</t>
        </is>
      </c>
      <c r="L257" t="inlineStr">
        <is>
          <t>&gt;= 0</t>
        </is>
      </c>
      <c r="M257" t="inlineStr">
        <is>
          <t>30-50% ownership</t>
        </is>
      </c>
      <c r="N257" t="inlineStr">
        <is>
          <t>Not Started</t>
        </is>
      </c>
    </row>
    <row r="258">
      <c r="A258" t="inlineStr">
        <is>
          <t>S3-167</t>
        </is>
      </c>
      <c r="B258" t="inlineStr">
        <is>
          <t>Section 3</t>
        </is>
      </c>
      <c r="C258" t="inlineStr">
        <is>
          <t>3.16 Minority-Owned</t>
        </is>
      </c>
      <c r="D258" t="inlineStr">
        <is>
          <t>MOCEOwnershipLevel</t>
        </is>
      </c>
      <c r="E258" t="inlineStr">
        <is>
          <t>Ownership level for MOCE</t>
        </is>
      </c>
      <c r="F258" t="inlineStr">
        <is>
          <t>Decimal</t>
        </is>
      </c>
      <c r="G258" t="inlineStr">
        <is>
          <t>Conditional</t>
        </is>
      </c>
      <c r="H258" t="inlineStr">
        <is>
          <t>GIR/MinorityOwned/Ownership</t>
        </is>
      </c>
      <c r="I258" t="inlineStr">
        <is>
          <t>Legal Entity Master</t>
        </is>
      </c>
      <c r="J258" t="inlineStr">
        <is>
          <t>Group Tax</t>
        </is>
      </c>
      <c r="K258" t="inlineStr">
        <is>
          <t>Medium</t>
        </is>
      </c>
      <c r="L258" t="inlineStr">
        <is>
          <t>30-50 percentage</t>
        </is>
      </c>
      <c r="M258" t="inlineStr">
        <is>
          <t>Per MOCE</t>
        </is>
      </c>
      <c r="N258" t="inlineStr">
        <is>
          <t>Not Started</t>
        </is>
      </c>
    </row>
    <row r="259">
      <c r="A259" t="inlineStr">
        <is>
          <t>S3-168</t>
        </is>
      </c>
      <c r="B259" t="inlineStr">
        <is>
          <t>Section 3</t>
        </is>
      </c>
      <c r="C259" t="inlineStr">
        <is>
          <t>3.16 Minority-Owned</t>
        </is>
      </c>
      <c r="D259" t="inlineStr">
        <is>
          <t>MOCEIncomeAllocation</t>
        </is>
      </c>
      <c r="E259" t="inlineStr">
        <is>
          <t>Income allocated from MOCE</t>
        </is>
      </c>
      <c r="F259" t="inlineStr">
        <is>
          <t>Decimal</t>
        </is>
      </c>
      <c r="G259" t="inlineStr">
        <is>
          <t>Conditional</t>
        </is>
      </c>
      <c r="H259" t="inlineStr">
        <is>
          <t>GIR/MinorityOwned/IncomeAlloc</t>
        </is>
      </c>
      <c r="I259" t="inlineStr">
        <is>
          <t>GIR Calculation</t>
        </is>
      </c>
      <c r="J259" t="inlineStr">
        <is>
          <t>Group Tax</t>
        </is>
      </c>
      <c r="K259" t="inlineStr">
        <is>
          <t>Medium</t>
        </is>
      </c>
      <c r="L259" t="inlineStr">
        <is>
          <t>Any value</t>
        </is>
      </c>
      <c r="M259" t="inlineStr">
        <is>
          <t>Pro-rata</t>
        </is>
      </c>
      <c r="N259" t="inlineStr">
        <is>
          <t>Not Started</t>
        </is>
      </c>
    </row>
    <row r="260">
      <c r="A260" t="inlineStr">
        <is>
          <t>S3-169</t>
        </is>
      </c>
      <c r="B260" t="inlineStr">
        <is>
          <t>Section 3</t>
        </is>
      </c>
      <c r="C260" t="inlineStr">
        <is>
          <t>3.16 Minority-Owned</t>
        </is>
      </c>
      <c r="D260" t="inlineStr">
        <is>
          <t>MOCETaxAllocation</t>
        </is>
      </c>
      <c r="E260" t="inlineStr">
        <is>
          <t>Tax allocated from MOCE</t>
        </is>
      </c>
      <c r="F260" t="inlineStr">
        <is>
          <t>Decimal</t>
        </is>
      </c>
      <c r="G260" t="inlineStr">
        <is>
          <t>Conditional</t>
        </is>
      </c>
      <c r="H260" t="inlineStr">
        <is>
          <t>GIR/MinorityOwned/TaxAlloc</t>
        </is>
      </c>
      <c r="I260" t="inlineStr">
        <is>
          <t>GIR Calculation</t>
        </is>
      </c>
      <c r="J260" t="inlineStr">
        <is>
          <t>Group Tax</t>
        </is>
      </c>
      <c r="K260" t="inlineStr">
        <is>
          <t>Medium</t>
        </is>
      </c>
      <c r="L260" t="inlineStr">
        <is>
          <t>Any value</t>
        </is>
      </c>
      <c r="M260" t="inlineStr">
        <is>
          <t>Pro-rata</t>
        </is>
      </c>
      <c r="N260" t="inlineStr">
        <is>
          <t>Not Started</t>
        </is>
      </c>
    </row>
    <row r="261">
      <c r="A261" t="inlineStr">
        <is>
          <t>S3-170</t>
        </is>
      </c>
      <c r="B261" t="inlineStr">
        <is>
          <t>Section 3</t>
        </is>
      </c>
      <c r="C261" t="inlineStr">
        <is>
          <t>3.16 Minority-Owned</t>
        </is>
      </c>
      <c r="D261" t="inlineStr">
        <is>
          <t>MOCESeparateCalcRequired</t>
        </is>
      </c>
      <c r="E261" t="inlineStr">
        <is>
          <t>Separate ETR calc required</t>
        </is>
      </c>
      <c r="F261" t="inlineStr">
        <is>
          <t>Boolean</t>
        </is>
      </c>
      <c r="G261" t="inlineStr">
        <is>
          <t>Conditional</t>
        </is>
      </c>
      <c r="H261" t="inlineStr">
        <is>
          <t>GIR/MinorityOwned/SeparateCalc</t>
        </is>
      </c>
      <c r="I261" t="inlineStr">
        <is>
          <t>GIR Analysis</t>
        </is>
      </c>
      <c r="J261" t="inlineStr">
        <is>
          <t>Group Tax</t>
        </is>
      </c>
      <c r="K261" t="inlineStr">
        <is>
          <t>Medium</t>
        </is>
      </c>
      <c r="L261" t="inlineStr">
        <is>
          <t>True/False</t>
        </is>
      </c>
      <c r="M261" t="inlineStr">
        <is>
          <t>If applicable</t>
        </is>
      </c>
      <c r="N261" t="inlineStr">
        <is>
          <t>Not Started</t>
        </is>
      </c>
    </row>
    <row r="262">
      <c r="A262" t="inlineStr">
        <is>
          <t>S3-171</t>
        </is>
      </c>
      <c r="B262" t="inlineStr">
        <is>
          <t>Section 3</t>
        </is>
      </c>
      <c r="C262" t="inlineStr">
        <is>
          <t>3.17 JV Treatment</t>
        </is>
      </c>
      <c r="D262" t="inlineStr">
        <is>
          <t>JVCECount</t>
        </is>
      </c>
      <c r="E262" t="inlineStr">
        <is>
          <t>Number of JV constituent entities</t>
        </is>
      </c>
      <c r="F262" t="inlineStr">
        <is>
          <t>Integer</t>
        </is>
      </c>
      <c r="G262" t="inlineStr">
        <is>
          <t>Yes</t>
        </is>
      </c>
      <c r="H262" t="inlineStr">
        <is>
          <t>GIR/JointVenture/Count</t>
        </is>
      </c>
      <c r="I262" t="inlineStr">
        <is>
          <t>Legal Entity Master</t>
        </is>
      </c>
      <c r="J262" t="inlineStr">
        <is>
          <t>Group Tax</t>
        </is>
      </c>
      <c r="K262" t="inlineStr">
        <is>
          <t>Medium</t>
        </is>
      </c>
      <c r="L262" t="inlineStr">
        <is>
          <t>&gt;= 0</t>
        </is>
      </c>
      <c r="M262" t="inlineStr">
        <is>
          <t>50%+ ownership</t>
        </is>
      </c>
      <c r="N262" t="inlineStr">
        <is>
          <t>Not Started</t>
        </is>
      </c>
    </row>
    <row r="263">
      <c r="A263" t="inlineStr">
        <is>
          <t>S3-172</t>
        </is>
      </c>
      <c r="B263" t="inlineStr">
        <is>
          <t>Section 3</t>
        </is>
      </c>
      <c r="C263" t="inlineStr">
        <is>
          <t>3.17 JV Treatment</t>
        </is>
      </c>
      <c r="D263" t="inlineStr">
        <is>
          <t>JVGloBEIncome</t>
        </is>
      </c>
      <c r="E263" t="inlineStr">
        <is>
          <t>GloBE income from JVs</t>
        </is>
      </c>
      <c r="F263" t="inlineStr">
        <is>
          <t>Decimal</t>
        </is>
      </c>
      <c r="G263" t="inlineStr">
        <is>
          <t>Conditional</t>
        </is>
      </c>
      <c r="H263" t="inlineStr">
        <is>
          <t>GIR/JointVenture/Income</t>
        </is>
      </c>
      <c r="I263" t="inlineStr">
        <is>
          <t>GIR Calculation</t>
        </is>
      </c>
      <c r="J263" t="inlineStr">
        <is>
          <t>Group Tax</t>
        </is>
      </c>
      <c r="K263" t="inlineStr">
        <is>
          <t>High</t>
        </is>
      </c>
      <c r="L263" t="inlineStr">
        <is>
          <t>Any value</t>
        </is>
      </c>
      <c r="M263" t="inlineStr">
        <is>
          <t>Per ownership</t>
        </is>
      </c>
      <c r="N263" t="inlineStr">
        <is>
          <t>Not Started</t>
        </is>
      </c>
    </row>
    <row r="264">
      <c r="A264" t="inlineStr">
        <is>
          <t>S3-173</t>
        </is>
      </c>
      <c r="B264" t="inlineStr">
        <is>
          <t>Section 3</t>
        </is>
      </c>
      <c r="C264" t="inlineStr">
        <is>
          <t>3.17 JV Treatment</t>
        </is>
      </c>
      <c r="D264" t="inlineStr">
        <is>
          <t>JVCoveredTaxes</t>
        </is>
      </c>
      <c r="E264" t="inlineStr">
        <is>
          <t>Covered taxes from JVs</t>
        </is>
      </c>
      <c r="F264" t="inlineStr">
        <is>
          <t>Decimal</t>
        </is>
      </c>
      <c r="G264" t="inlineStr">
        <is>
          <t>Conditional</t>
        </is>
      </c>
      <c r="H264" t="inlineStr">
        <is>
          <t>GIR/JointVenture/CoveredTaxes</t>
        </is>
      </c>
      <c r="I264" t="inlineStr">
        <is>
          <t>GIR Calculation</t>
        </is>
      </c>
      <c r="J264" t="inlineStr">
        <is>
          <t>Group Tax</t>
        </is>
      </c>
      <c r="K264" t="inlineStr">
        <is>
          <t>High</t>
        </is>
      </c>
      <c r="L264" t="inlineStr">
        <is>
          <t>Any value</t>
        </is>
      </c>
      <c r="M264" t="inlineStr">
        <is>
          <t>Per ownership</t>
        </is>
      </c>
      <c r="N264" t="inlineStr">
        <is>
          <t>Not Started</t>
        </is>
      </c>
    </row>
    <row r="265">
      <c r="A265" t="inlineStr">
        <is>
          <t>S3-174</t>
        </is>
      </c>
      <c r="B265" t="inlineStr">
        <is>
          <t>Section 3</t>
        </is>
      </c>
      <c r="C265" t="inlineStr">
        <is>
          <t>3.17 JV Treatment</t>
        </is>
      </c>
      <c r="D265" t="inlineStr">
        <is>
          <t>JVTopUpTax</t>
        </is>
      </c>
      <c r="E265" t="inlineStr">
        <is>
          <t>Top-up tax from JVs</t>
        </is>
      </c>
      <c r="F265" t="inlineStr">
        <is>
          <t>Decimal</t>
        </is>
      </c>
      <c r="G265" t="inlineStr">
        <is>
          <t>Conditional</t>
        </is>
      </c>
      <c r="H265" t="inlineStr">
        <is>
          <t>GIR/JointVenture/TopUpTax</t>
        </is>
      </c>
      <c r="I265" t="inlineStr">
        <is>
          <t>GIR Calculation</t>
        </is>
      </c>
      <c r="J265" t="inlineStr">
        <is>
          <t>Group Tax</t>
        </is>
      </c>
      <c r="K265" t="inlineStr">
        <is>
          <t>High</t>
        </is>
      </c>
      <c r="L265" t="inlineStr">
        <is>
          <t>&gt;= 0</t>
        </is>
      </c>
      <c r="M265" t="inlineStr">
        <is>
          <t>Allocated share</t>
        </is>
      </c>
      <c r="N265" t="inlineStr">
        <is>
          <t>Not Started</t>
        </is>
      </c>
    </row>
    <row r="266">
      <c r="A266" t="inlineStr">
        <is>
          <t>S3-175</t>
        </is>
      </c>
      <c r="B266" t="inlineStr">
        <is>
          <t>Section 3</t>
        </is>
      </c>
      <c r="C266" t="inlineStr">
        <is>
          <t>3.17 JV Treatment</t>
        </is>
      </c>
      <c r="D266" t="inlineStr">
        <is>
          <t>JVSeparateGroup</t>
        </is>
      </c>
      <c r="E266" t="inlineStr">
        <is>
          <t>JV treated as separate group</t>
        </is>
      </c>
      <c r="F266" t="inlineStr">
        <is>
          <t>Boolean</t>
        </is>
      </c>
      <c r="G266" t="inlineStr">
        <is>
          <t>Conditional</t>
        </is>
      </c>
      <c r="H266" t="inlineStr">
        <is>
          <t>GIR/JointVenture/SeparateGroup</t>
        </is>
      </c>
      <c r="I266" t="inlineStr">
        <is>
          <t>GIR Configuration</t>
        </is>
      </c>
      <c r="J266" t="inlineStr">
        <is>
          <t>Group Tax</t>
        </is>
      </c>
      <c r="K266" t="inlineStr">
        <is>
          <t>Medium</t>
        </is>
      </c>
      <c r="L266" t="inlineStr">
        <is>
          <t>True/False</t>
        </is>
      </c>
      <c r="M266" t="inlineStr">
        <is>
          <t>Election</t>
        </is>
      </c>
      <c r="N266" t="inlineStr">
        <is>
          <t>Not Started</t>
        </is>
      </c>
    </row>
    <row r="267">
      <c r="A267" t="inlineStr">
        <is>
          <t>S3-176</t>
        </is>
      </c>
      <c r="B267" t="inlineStr">
        <is>
          <t>Section 3</t>
        </is>
      </c>
      <c r="C267" t="inlineStr">
        <is>
          <t>3.18 Inv Entity</t>
        </is>
      </c>
      <c r="D267" t="inlineStr">
        <is>
          <t>InvestmentEntityCount</t>
        </is>
      </c>
      <c r="E267" t="inlineStr">
        <is>
          <t>Number of investment entities</t>
        </is>
      </c>
      <c r="F267" t="inlineStr">
        <is>
          <t>Integer</t>
        </is>
      </c>
      <c r="G267" t="inlineStr">
        <is>
          <t>Yes</t>
        </is>
      </c>
      <c r="H267" t="inlineStr">
        <is>
          <t>GIR/InvestmentEntity/Count</t>
        </is>
      </c>
      <c r="I267" t="inlineStr">
        <is>
          <t>Legal Entity Master</t>
        </is>
      </c>
      <c r="J267" t="inlineStr">
        <is>
          <t>Group Tax</t>
        </is>
      </c>
      <c r="K267" t="inlineStr">
        <is>
          <t>Medium</t>
        </is>
      </c>
      <c r="L267" t="inlineStr">
        <is>
          <t>&gt;= 0</t>
        </is>
      </c>
      <c r="M267" t="inlineStr">
        <is>
          <t>Qualifying IEs</t>
        </is>
      </c>
      <c r="N267" t="inlineStr">
        <is>
          <t>Not Started</t>
        </is>
      </c>
    </row>
    <row r="268">
      <c r="A268" t="inlineStr">
        <is>
          <t>S3-177</t>
        </is>
      </c>
      <c r="B268" t="inlineStr">
        <is>
          <t>Section 3</t>
        </is>
      </c>
      <c r="C268" t="inlineStr">
        <is>
          <t>3.18 Inv Entity</t>
        </is>
      </c>
      <c r="D268" t="inlineStr">
        <is>
          <t>IEFairValueIncome</t>
        </is>
      </c>
      <c r="E268" t="inlineStr">
        <is>
          <t>Fair value income from IEs</t>
        </is>
      </c>
      <c r="F268" t="inlineStr">
        <is>
          <t>Decimal</t>
        </is>
      </c>
      <c r="G268" t="inlineStr">
        <is>
          <t>Conditional</t>
        </is>
      </c>
      <c r="H268" t="inlineStr">
        <is>
          <t>GIR/InvestmentEntity/FVIncome</t>
        </is>
      </c>
      <c r="I268" t="inlineStr">
        <is>
          <t>Financial System</t>
        </is>
      </c>
      <c r="J268" t="inlineStr">
        <is>
          <t>Local Finance</t>
        </is>
      </c>
      <c r="K268" t="inlineStr">
        <is>
          <t>Medium</t>
        </is>
      </c>
      <c r="L268" t="inlineStr">
        <is>
          <t>Any value</t>
        </is>
      </c>
      <c r="M268" t="inlineStr">
        <is>
          <t>Mark-to-market</t>
        </is>
      </c>
      <c r="N268" t="inlineStr">
        <is>
          <t>Not Started</t>
        </is>
      </c>
    </row>
    <row r="269">
      <c r="A269" t="inlineStr">
        <is>
          <t>S3-178</t>
        </is>
      </c>
      <c r="B269" t="inlineStr">
        <is>
          <t>Section 3</t>
        </is>
      </c>
      <c r="C269" t="inlineStr">
        <is>
          <t>3.18 Inv Entity</t>
        </is>
      </c>
      <c r="D269" t="inlineStr">
        <is>
          <t>IEElectionApplied</t>
        </is>
      </c>
      <c r="E269" t="inlineStr">
        <is>
          <t>Investment entity election</t>
        </is>
      </c>
      <c r="F269" t="inlineStr">
        <is>
          <t>Boolean</t>
        </is>
      </c>
      <c r="G269" t="inlineStr">
        <is>
          <t>Conditional</t>
        </is>
      </c>
      <c r="H269" t="inlineStr">
        <is>
          <t>GIR/InvestmentEntity/Election</t>
        </is>
      </c>
      <c r="I269" t="inlineStr">
        <is>
          <t>GIR Configuration</t>
        </is>
      </c>
      <c r="J269" t="inlineStr">
        <is>
          <t>Group Tax</t>
        </is>
      </c>
      <c r="K269" t="inlineStr">
        <is>
          <t>Medium</t>
        </is>
      </c>
      <c r="L269" t="inlineStr">
        <is>
          <t>True/False</t>
        </is>
      </c>
      <c r="M269" t="inlineStr">
        <is>
          <t>Taxable at parent</t>
        </is>
      </c>
      <c r="N269" t="inlineStr">
        <is>
          <t>Not Started</t>
        </is>
      </c>
    </row>
    <row r="270">
      <c r="A270" t="inlineStr">
        <is>
          <t>S3-179</t>
        </is>
      </c>
      <c r="B270" t="inlineStr">
        <is>
          <t>Section 3</t>
        </is>
      </c>
      <c r="C270" t="inlineStr">
        <is>
          <t>3.18 Inv Entity</t>
        </is>
      </c>
      <c r="D270" t="inlineStr">
        <is>
          <t>IEAdjustedBasis</t>
        </is>
      </c>
      <c r="E270" t="inlineStr">
        <is>
          <t>Adjusted basis computation</t>
        </is>
      </c>
      <c r="F270" t="inlineStr">
        <is>
          <t>Decimal</t>
        </is>
      </c>
      <c r="G270" t="inlineStr">
        <is>
          <t>Conditional</t>
        </is>
      </c>
      <c r="H270" t="inlineStr">
        <is>
          <t>GIR/InvestmentEntity/AdjBasis</t>
        </is>
      </c>
      <c r="I270" t="inlineStr">
        <is>
          <t>GIR Calculation</t>
        </is>
      </c>
      <c r="J270" t="inlineStr">
        <is>
          <t>Group Tax</t>
        </is>
      </c>
      <c r="K270" t="inlineStr">
        <is>
          <t>Medium</t>
        </is>
      </c>
      <c r="L270" t="inlineStr">
        <is>
          <t>Any value</t>
        </is>
      </c>
      <c r="M270" t="inlineStr">
        <is>
          <t>If elected</t>
        </is>
      </c>
      <c r="N270" t="inlineStr">
        <is>
          <t>Not Started</t>
        </is>
      </c>
    </row>
    <row r="271">
      <c r="A271" t="inlineStr">
        <is>
          <t>S3-180</t>
        </is>
      </c>
      <c r="B271" t="inlineStr">
        <is>
          <t>Section 3</t>
        </is>
      </c>
      <c r="C271" t="inlineStr">
        <is>
          <t>3.18 Inv Entity</t>
        </is>
      </c>
      <c r="D271" t="inlineStr">
        <is>
          <t>IEInsuranceSubsidiary</t>
        </is>
      </c>
      <c r="E271" t="inlineStr">
        <is>
          <t>Insurance investment subsidiary</t>
        </is>
      </c>
      <c r="F271" t="inlineStr">
        <is>
          <t>Boolean</t>
        </is>
      </c>
      <c r="G271" t="inlineStr">
        <is>
          <t>Conditional</t>
        </is>
      </c>
      <c r="H271" t="inlineStr">
        <is>
          <t>GIR/InvestmentEntity/Insurance</t>
        </is>
      </c>
      <c r="I271" t="inlineStr">
        <is>
          <t>GIR Analysis</t>
        </is>
      </c>
      <c r="J271" t="inlineStr">
        <is>
          <t>Group Tax</t>
        </is>
      </c>
      <c r="K271" t="inlineStr">
        <is>
          <t>Medium</t>
        </is>
      </c>
      <c r="L271" t="inlineStr">
        <is>
          <t>True/False</t>
        </is>
      </c>
      <c r="M271" t="inlineStr">
        <is>
          <t>Special rules</t>
        </is>
      </c>
      <c r="N271" t="inlineStr">
        <is>
          <t>Not Started</t>
        </is>
      </c>
    </row>
    <row r="272">
      <c r="A272" t="inlineStr">
        <is>
          <t>S3-181</t>
        </is>
      </c>
      <c r="B272" t="inlineStr">
        <is>
          <t>Section 3</t>
        </is>
      </c>
      <c r="C272" t="inlineStr">
        <is>
          <t>3.19 Reorg</t>
        </is>
      </c>
      <c r="D272" t="inlineStr">
        <is>
          <t>CorporateReorganization</t>
        </is>
      </c>
      <c r="E272" t="inlineStr">
        <is>
          <t>Corporate reorg occurred</t>
        </is>
      </c>
      <c r="F272" t="inlineStr">
        <is>
          <t>Boolean</t>
        </is>
      </c>
      <c r="G272" t="inlineStr">
        <is>
          <t>Yes</t>
        </is>
      </c>
      <c r="H272" t="inlineStr">
        <is>
          <t>GIR/Reorganization/Occurred</t>
        </is>
      </c>
      <c r="I272" t="inlineStr">
        <is>
          <t>Legal Entity Master</t>
        </is>
      </c>
      <c r="J272" t="inlineStr">
        <is>
          <t>Group Tax</t>
        </is>
      </c>
      <c r="K272" t="inlineStr">
        <is>
          <t>High</t>
        </is>
      </c>
      <c r="L272" t="inlineStr">
        <is>
          <t>True/False</t>
        </is>
      </c>
      <c r="M272" t="inlineStr">
        <is>
          <t>Current year</t>
        </is>
      </c>
      <c r="N272" t="inlineStr">
        <is>
          <t>Not Started</t>
        </is>
      </c>
    </row>
    <row r="273">
      <c r="A273" t="inlineStr">
        <is>
          <t>S3-182</t>
        </is>
      </c>
      <c r="B273" t="inlineStr">
        <is>
          <t>Section 3</t>
        </is>
      </c>
      <c r="C273" t="inlineStr">
        <is>
          <t>3.19 Reorg</t>
        </is>
      </c>
      <c r="D273" t="inlineStr">
        <is>
          <t>ReorgType</t>
        </is>
      </c>
      <c r="E273" t="inlineStr">
        <is>
          <t>Type of reorganization</t>
        </is>
      </c>
      <c r="F273" t="inlineStr">
        <is>
          <t>Enumeration</t>
        </is>
      </c>
      <c r="G273" t="inlineStr">
        <is>
          <t>Conditional</t>
        </is>
      </c>
      <c r="H273" t="inlineStr">
        <is>
          <t>GIR/Reorganization/Type</t>
        </is>
      </c>
      <c r="I273" t="inlineStr">
        <is>
          <t>Legal Entity Master</t>
        </is>
      </c>
      <c r="J273" t="inlineStr">
        <is>
          <t>Group Tax</t>
        </is>
      </c>
      <c r="K273" t="inlineStr">
        <is>
          <t>High</t>
        </is>
      </c>
      <c r="L273" t="inlineStr">
        <is>
          <t>Merger/Spin-off/Acquisition</t>
        </is>
      </c>
      <c r="M273" t="inlineStr">
        <is>
          <t>Classification</t>
        </is>
      </c>
      <c r="N273" t="inlineStr">
        <is>
          <t>Not Started</t>
        </is>
      </c>
    </row>
    <row r="274">
      <c r="A274" t="inlineStr">
        <is>
          <t>S3-183</t>
        </is>
      </c>
      <c r="B274" t="inlineStr">
        <is>
          <t>Section 3</t>
        </is>
      </c>
      <c r="C274" t="inlineStr">
        <is>
          <t>3.19 Reorg</t>
        </is>
      </c>
      <c r="D274" t="inlineStr">
        <is>
          <t>ReorgEffectiveDate</t>
        </is>
      </c>
      <c r="E274" t="inlineStr">
        <is>
          <t>Effective date of reorganization</t>
        </is>
      </c>
      <c r="F274" t="inlineStr">
        <is>
          <t>Date</t>
        </is>
      </c>
      <c r="G274" t="inlineStr">
        <is>
          <t>Conditional</t>
        </is>
      </c>
      <c r="H274" t="inlineStr">
        <is>
          <t>GIR/Reorganization/EffectiveDate</t>
        </is>
      </c>
      <c r="I274" t="inlineStr">
        <is>
          <t>Legal Entity Master</t>
        </is>
      </c>
      <c r="J274" t="inlineStr">
        <is>
          <t>Group Tax</t>
        </is>
      </c>
      <c r="K274" t="inlineStr">
        <is>
          <t>High</t>
        </is>
      </c>
      <c r="L274" t="inlineStr">
        <is>
          <t>Valid date format</t>
        </is>
      </c>
      <c r="M274" t="inlineStr">
        <is>
          <t>Transaction date</t>
        </is>
      </c>
      <c r="N274" t="inlineStr">
        <is>
          <t>Not Started</t>
        </is>
      </c>
    </row>
    <row r="275">
      <c r="A275" t="inlineStr">
        <is>
          <t>S3-184</t>
        </is>
      </c>
      <c r="B275" t="inlineStr">
        <is>
          <t>Section 3</t>
        </is>
      </c>
      <c r="C275" t="inlineStr">
        <is>
          <t>3.19 Reorg</t>
        </is>
      </c>
      <c r="D275" t="inlineStr">
        <is>
          <t>ReorgImpactOnGloBE</t>
        </is>
      </c>
      <c r="E275" t="inlineStr">
        <is>
          <t>Impact on GloBE calculations</t>
        </is>
      </c>
      <c r="F275" t="inlineStr">
        <is>
          <t>String</t>
        </is>
      </c>
      <c r="G275" t="inlineStr">
        <is>
          <t>Conditional</t>
        </is>
      </c>
      <c r="H275" t="inlineStr">
        <is>
          <t>GIR/Reorganization/Impact</t>
        </is>
      </c>
      <c r="I275" t="inlineStr">
        <is>
          <t>GIR Analysis</t>
        </is>
      </c>
      <c r="J275" t="inlineStr">
        <is>
          <t>Group Tax</t>
        </is>
      </c>
      <c r="K275" t="inlineStr">
        <is>
          <t>High</t>
        </is>
      </c>
      <c r="L275" t="inlineStr">
        <is>
          <t>Description</t>
        </is>
      </c>
      <c r="M275" t="inlineStr">
        <is>
          <t>Documentation</t>
        </is>
      </c>
      <c r="N275" t="inlineStr">
        <is>
          <t>Not Started</t>
        </is>
      </c>
    </row>
    <row r="276">
      <c r="A276" t="inlineStr">
        <is>
          <t>S3-185</t>
        </is>
      </c>
      <c r="B276" t="inlineStr">
        <is>
          <t>Section 3</t>
        </is>
      </c>
      <c r="C276" t="inlineStr">
        <is>
          <t>3.19 Reorg</t>
        </is>
      </c>
      <c r="D276" t="inlineStr">
        <is>
          <t>TransferredAssetsCarryover</t>
        </is>
      </c>
      <c r="E276" t="inlineStr">
        <is>
          <t>Transferred assets carryover</t>
        </is>
      </c>
      <c r="F276" t="inlineStr">
        <is>
          <t>Decimal</t>
        </is>
      </c>
      <c r="G276" t="inlineStr">
        <is>
          <t>Conditional</t>
        </is>
      </c>
      <c r="H276" t="inlineStr">
        <is>
          <t>GIR/Reorganization/AssetCarryover</t>
        </is>
      </c>
      <c r="I276" t="inlineStr">
        <is>
          <t>GIR Calculation</t>
        </is>
      </c>
      <c r="J276" t="inlineStr">
        <is>
          <t>Group Tax</t>
        </is>
      </c>
      <c r="K276" t="inlineStr">
        <is>
          <t>High</t>
        </is>
      </c>
      <c r="L276" t="inlineStr">
        <is>
          <t>Any value</t>
        </is>
      </c>
      <c r="M276" t="inlineStr">
        <is>
          <t>Basis tracking</t>
        </is>
      </c>
      <c r="N276" t="inlineStr">
        <is>
          <t>Not Started</t>
        </is>
      </c>
    </row>
    <row r="277">
      <c r="A277" t="inlineStr">
        <is>
          <t>S3-186</t>
        </is>
      </c>
      <c r="B277" t="inlineStr">
        <is>
          <t>Section 3</t>
        </is>
      </c>
      <c r="C277" t="inlineStr">
        <is>
          <t>3.19 Reorg</t>
        </is>
      </c>
      <c r="D277" t="inlineStr">
        <is>
          <t>TransferredDTCarryover</t>
        </is>
      </c>
      <c r="E277" t="inlineStr">
        <is>
          <t>Transferred DT carryover</t>
        </is>
      </c>
      <c r="F277" t="inlineStr">
        <is>
          <t>Decimal</t>
        </is>
      </c>
      <c r="G277" t="inlineStr">
        <is>
          <t>Conditional</t>
        </is>
      </c>
      <c r="H277" t="inlineStr">
        <is>
          <t>GIR/Reorganization/DTCarryover</t>
        </is>
      </c>
      <c r="I277" t="inlineStr">
        <is>
          <t>GIR Calculation</t>
        </is>
      </c>
      <c r="J277" t="inlineStr">
        <is>
          <t>Group Tax</t>
        </is>
      </c>
      <c r="K277" t="inlineStr">
        <is>
          <t>High</t>
        </is>
      </c>
      <c r="L277" t="inlineStr">
        <is>
          <t>Any value</t>
        </is>
      </c>
      <c r="M277" t="inlineStr">
        <is>
          <t>DTA/DTL</t>
        </is>
      </c>
      <c r="N277" t="inlineStr">
        <is>
          <t>Not Started</t>
        </is>
      </c>
    </row>
    <row r="278">
      <c r="A278" t="inlineStr">
        <is>
          <t>S3-187</t>
        </is>
      </c>
      <c r="B278" t="inlineStr">
        <is>
          <t>Section 3</t>
        </is>
      </c>
      <c r="C278" t="inlineStr">
        <is>
          <t>3.19 Reorg</t>
        </is>
      </c>
      <c r="D278" t="inlineStr">
        <is>
          <t>NewCEFromReorg</t>
        </is>
      </c>
      <c r="E278" t="inlineStr">
        <is>
          <t>New CEs from reorganization</t>
        </is>
      </c>
      <c r="F278" t="inlineStr">
        <is>
          <t>String</t>
        </is>
      </c>
      <c r="G278" t="inlineStr">
        <is>
          <t>Conditional</t>
        </is>
      </c>
      <c r="H278" t="inlineStr">
        <is>
          <t>GIR/Reorganization/NewCEs</t>
        </is>
      </c>
      <c r="I278" t="inlineStr">
        <is>
          <t>Legal Entity Master</t>
        </is>
      </c>
      <c r="J278" t="inlineStr">
        <is>
          <t>Group Tax</t>
        </is>
      </c>
      <c r="K278" t="inlineStr">
        <is>
          <t>Medium</t>
        </is>
      </c>
      <c r="L278" t="inlineStr">
        <is>
          <t>Entity names</t>
        </is>
      </c>
      <c r="M278" t="inlineStr">
        <is>
          <t>Added entities</t>
        </is>
      </c>
      <c r="N278" t="inlineStr">
        <is>
          <t>Not Started</t>
        </is>
      </c>
    </row>
    <row r="279">
      <c r="A279" t="inlineStr">
        <is>
          <t>S3-188</t>
        </is>
      </c>
      <c r="B279" t="inlineStr">
        <is>
          <t>Section 3</t>
        </is>
      </c>
      <c r="C279" t="inlineStr">
        <is>
          <t>3.19 Reorg</t>
        </is>
      </c>
      <c r="D279" t="inlineStr">
        <is>
          <t>DisposedCEFromReorg</t>
        </is>
      </c>
      <c r="E279" t="inlineStr">
        <is>
          <t>Disposed CEs from reorganization</t>
        </is>
      </c>
      <c r="F279" t="inlineStr">
        <is>
          <t>String</t>
        </is>
      </c>
      <c r="G279" t="inlineStr">
        <is>
          <t>Conditional</t>
        </is>
      </c>
      <c r="H279" t="inlineStr">
        <is>
          <t>GIR/Reorganization/DisposedCEs</t>
        </is>
      </c>
      <c r="I279" t="inlineStr">
        <is>
          <t>Legal Entity Master</t>
        </is>
      </c>
      <c r="J279" t="inlineStr">
        <is>
          <t>Group Tax</t>
        </is>
      </c>
      <c r="K279" t="inlineStr">
        <is>
          <t>Medium</t>
        </is>
      </c>
      <c r="L279" t="inlineStr">
        <is>
          <t>Entity names</t>
        </is>
      </c>
      <c r="M279" t="inlineStr">
        <is>
          <t>Removed entities</t>
        </is>
      </c>
      <c r="N279" t="inlineStr">
        <is>
          <t>Not Started</t>
        </is>
      </c>
    </row>
    <row r="280">
      <c r="A280" t="inlineStr">
        <is>
          <t>S3-189</t>
        </is>
      </c>
      <c r="B280" t="inlineStr">
        <is>
          <t>Section 3</t>
        </is>
      </c>
      <c r="C280" t="inlineStr">
        <is>
          <t>3.19 Reorg</t>
        </is>
      </c>
      <c r="D280" t="inlineStr">
        <is>
          <t>ReorgDocumentation</t>
        </is>
      </c>
      <c r="E280" t="inlineStr">
        <is>
          <t>Reorganization documentation</t>
        </is>
      </c>
      <c r="F280" t="inlineStr">
        <is>
          <t>String</t>
        </is>
      </c>
      <c r="G280" t="inlineStr">
        <is>
          <t>Conditional</t>
        </is>
      </c>
      <c r="H280" t="inlineStr">
        <is>
          <t>GIR/Reorganization/Documentation</t>
        </is>
      </c>
      <c r="I280" t="inlineStr">
        <is>
          <t>Document Management</t>
        </is>
      </c>
      <c r="J280" t="inlineStr">
        <is>
          <t>Group Tax</t>
        </is>
      </c>
      <c r="K280" t="inlineStr">
        <is>
          <t>Medium</t>
        </is>
      </c>
      <c r="L280" t="inlineStr">
        <is>
          <t>File reference</t>
        </is>
      </c>
      <c r="M280" t="inlineStr">
        <is>
          <t>Agreements</t>
        </is>
      </c>
      <c r="N280" t="inlineStr">
        <is>
          <t>Not Started</t>
        </is>
      </c>
    </row>
    <row r="281">
      <c r="A281" t="inlineStr">
        <is>
          <t>S3-190</t>
        </is>
      </c>
      <c r="B281" t="inlineStr">
        <is>
          <t>Section 3</t>
        </is>
      </c>
      <c r="C281" t="inlineStr">
        <is>
          <t>3.19 Reorg</t>
        </is>
      </c>
      <c r="D281" t="inlineStr">
        <is>
          <t>SuccessorEntityMapping</t>
        </is>
      </c>
      <c r="E281" t="inlineStr">
        <is>
          <t>Successor entity mapping</t>
        </is>
      </c>
      <c r="F281" t="inlineStr">
        <is>
          <t>String</t>
        </is>
      </c>
      <c r="G281" t="inlineStr">
        <is>
          <t>Conditional</t>
        </is>
      </c>
      <c r="H281" t="inlineStr">
        <is>
          <t>GIR/Reorganization/SuccessorMap</t>
        </is>
      </c>
      <c r="I281" t="inlineStr">
        <is>
          <t>Legal Entity Master</t>
        </is>
      </c>
      <c r="J281" t="inlineStr">
        <is>
          <t>Group Tax</t>
        </is>
      </c>
      <c r="K281" t="inlineStr">
        <is>
          <t>High</t>
        </is>
      </c>
      <c r="L281" t="inlineStr">
        <is>
          <t>Old to new mapping</t>
        </is>
      </c>
      <c r="M281" t="inlineStr">
        <is>
          <t>Continuity</t>
        </is>
      </c>
      <c r="N281" t="inlineStr">
        <is>
          <t>Not Started</t>
        </is>
      </c>
    </row>
    <row r="282">
      <c r="A282" t="inlineStr">
        <is>
          <t>S3-191</t>
        </is>
      </c>
      <c r="B282" t="inlineStr">
        <is>
          <t>Section 3</t>
        </is>
      </c>
      <c r="C282" t="inlineStr">
        <is>
          <t>3.20 Summary Calcs</t>
        </is>
      </c>
      <c r="D282" t="inlineStr">
        <is>
          <t>TotalGroupGloBEIncome</t>
        </is>
      </c>
      <c r="E282" t="inlineStr">
        <is>
          <t>Total group GloBE income</t>
        </is>
      </c>
      <c r="F282" t="inlineStr">
        <is>
          <t>Decimal</t>
        </is>
      </c>
      <c r="G282" t="inlineStr">
        <is>
          <t>Yes</t>
        </is>
      </c>
      <c r="H282" t="inlineStr">
        <is>
          <t>GIR/Summary/TotalGloBEIncome</t>
        </is>
      </c>
      <c r="I282" t="inlineStr">
        <is>
          <t>GIR Calculation</t>
        </is>
      </c>
      <c r="J282" t="inlineStr">
        <is>
          <t>Group Tax</t>
        </is>
      </c>
      <c r="K282" t="inlineStr">
        <is>
          <t>Critical</t>
        </is>
      </c>
      <c r="L282" t="inlineStr">
        <is>
          <t>Any value</t>
        </is>
      </c>
      <c r="M282" t="inlineStr">
        <is>
          <t>All jurisdictions</t>
        </is>
      </c>
      <c r="N282" t="inlineStr">
        <is>
          <t>Not Started</t>
        </is>
      </c>
    </row>
    <row r="283">
      <c r="A283" t="inlineStr">
        <is>
          <t>S3-192</t>
        </is>
      </c>
      <c r="B283" t="inlineStr">
        <is>
          <t>Section 3</t>
        </is>
      </c>
      <c r="C283" t="inlineStr">
        <is>
          <t>3.20 Summary Calcs</t>
        </is>
      </c>
      <c r="D283" t="inlineStr">
        <is>
          <t>TotalGroupCoveredTaxes</t>
        </is>
      </c>
      <c r="E283" t="inlineStr">
        <is>
          <t>Total group covered taxes</t>
        </is>
      </c>
      <c r="F283" t="inlineStr">
        <is>
          <t>Decimal</t>
        </is>
      </c>
      <c r="G283" t="inlineStr">
        <is>
          <t>Yes</t>
        </is>
      </c>
      <c r="H283" t="inlineStr">
        <is>
          <t>GIR/Summary/TotalCoveredTaxes</t>
        </is>
      </c>
      <c r="I283" t="inlineStr">
        <is>
          <t>GIR Calculation</t>
        </is>
      </c>
      <c r="J283" t="inlineStr">
        <is>
          <t>Group Tax</t>
        </is>
      </c>
      <c r="K283" t="inlineStr">
        <is>
          <t>Critical</t>
        </is>
      </c>
      <c r="L283" t="inlineStr">
        <is>
          <t>Any value</t>
        </is>
      </c>
      <c r="M283" t="inlineStr">
        <is>
          <t>All jurisdictions</t>
        </is>
      </c>
      <c r="N283" t="inlineStr">
        <is>
          <t>Not Started</t>
        </is>
      </c>
    </row>
    <row r="284">
      <c r="A284" t="inlineStr">
        <is>
          <t>S3-193</t>
        </is>
      </c>
      <c r="B284" t="inlineStr">
        <is>
          <t>Section 3</t>
        </is>
      </c>
      <c r="C284" t="inlineStr">
        <is>
          <t>3.20 Summary Calcs</t>
        </is>
      </c>
      <c r="D284" t="inlineStr">
        <is>
          <t>AverageGroupETR</t>
        </is>
      </c>
      <c r="E284" t="inlineStr">
        <is>
          <t>Average group ETR</t>
        </is>
      </c>
      <c r="F284" t="inlineStr">
        <is>
          <t>Decimal</t>
        </is>
      </c>
      <c r="G284" t="inlineStr">
        <is>
          <t>Yes</t>
        </is>
      </c>
      <c r="H284" t="inlineStr">
        <is>
          <t>GIR/Summary/AverageETR</t>
        </is>
      </c>
      <c r="I284" t="inlineStr">
        <is>
          <t>GIR Calculation</t>
        </is>
      </c>
      <c r="J284" t="inlineStr">
        <is>
          <t>Group Tax</t>
        </is>
      </c>
      <c r="K284" t="inlineStr">
        <is>
          <t>High</t>
        </is>
      </c>
      <c r="L284" t="inlineStr">
        <is>
          <t>Percentage</t>
        </is>
      </c>
      <c r="M284" t="inlineStr">
        <is>
          <t>Weighted average</t>
        </is>
      </c>
      <c r="N284" t="inlineStr">
        <is>
          <t>Not Started</t>
        </is>
      </c>
    </row>
    <row r="285">
      <c r="A285" t="inlineStr">
        <is>
          <t>S3-194</t>
        </is>
      </c>
      <c r="B285" t="inlineStr">
        <is>
          <t>Section 3</t>
        </is>
      </c>
      <c r="C285" t="inlineStr">
        <is>
          <t>3.20 Summary Calcs</t>
        </is>
      </c>
      <c r="D285" t="inlineStr">
        <is>
          <t>JurisdictionsBelowMinimum</t>
        </is>
      </c>
      <c r="E285" t="inlineStr">
        <is>
          <t>Count jurisdictions &lt; 15%</t>
        </is>
      </c>
      <c r="F285" t="inlineStr">
        <is>
          <t>Integer</t>
        </is>
      </c>
      <c r="G285" t="inlineStr">
        <is>
          <t>Yes</t>
        </is>
      </c>
      <c r="H285" t="inlineStr">
        <is>
          <t>GIR/Summary/BelowMinCount</t>
        </is>
      </c>
      <c r="I285" t="inlineStr">
        <is>
          <t>GIR Calculation</t>
        </is>
      </c>
      <c r="J285" t="inlineStr">
        <is>
          <t>Group Tax</t>
        </is>
      </c>
      <c r="K285" t="inlineStr">
        <is>
          <t>High</t>
        </is>
      </c>
      <c r="L285" t="inlineStr">
        <is>
          <t>&gt;= 0</t>
        </is>
      </c>
      <c r="M285" t="inlineStr">
        <is>
          <t>Top-up trigger</t>
        </is>
      </c>
      <c r="N285" t="inlineStr">
        <is>
          <t>Not Started</t>
        </is>
      </c>
    </row>
    <row r="286">
      <c r="A286" t="inlineStr">
        <is>
          <t>S3-195</t>
        </is>
      </c>
      <c r="B286" t="inlineStr">
        <is>
          <t>Section 3</t>
        </is>
      </c>
      <c r="C286" t="inlineStr">
        <is>
          <t>3.20 Summary Calcs</t>
        </is>
      </c>
      <c r="D286" t="inlineStr">
        <is>
          <t>TotalTopUpTaxGroup</t>
        </is>
      </c>
      <c r="E286" t="inlineStr">
        <is>
          <t>Total top-up tax for group</t>
        </is>
      </c>
      <c r="F286" t="inlineStr">
        <is>
          <t>Decimal</t>
        </is>
      </c>
      <c r="G286" t="inlineStr">
        <is>
          <t>Yes</t>
        </is>
      </c>
      <c r="H286" t="inlineStr">
        <is>
          <t>GIR/Summary/TotalTopUpTax</t>
        </is>
      </c>
      <c r="I286" t="inlineStr">
        <is>
          <t>GIR Calculation</t>
        </is>
      </c>
      <c r="J286" t="inlineStr">
        <is>
          <t>Group Tax</t>
        </is>
      </c>
      <c r="K286" t="inlineStr">
        <is>
          <t>Critical</t>
        </is>
      </c>
      <c r="L286" t="inlineStr">
        <is>
          <t>&gt;= 0</t>
        </is>
      </c>
      <c r="M286" t="inlineStr">
        <is>
          <t>All jurisdictions</t>
        </is>
      </c>
      <c r="N286" t="inlineStr">
        <is>
          <t>Not Started</t>
        </is>
      </c>
    </row>
    <row r="287">
      <c r="A287" t="inlineStr">
        <is>
          <t>S3-196</t>
        </is>
      </c>
      <c r="B287" t="inlineStr">
        <is>
          <t>Section 3</t>
        </is>
      </c>
      <c r="C287" t="inlineStr">
        <is>
          <t>3.20 Summary Calcs</t>
        </is>
      </c>
      <c r="D287" t="inlineStr">
        <is>
          <t>TotalIIRAllocation</t>
        </is>
      </c>
      <c r="E287" t="inlineStr">
        <is>
          <t>Total IIR amount allocated</t>
        </is>
      </c>
      <c r="F287" t="inlineStr">
        <is>
          <t>Decimal</t>
        </is>
      </c>
      <c r="G287" t="inlineStr">
        <is>
          <t>Yes</t>
        </is>
      </c>
      <c r="H287" t="inlineStr">
        <is>
          <t>GIR/Summary/TotalIIR</t>
        </is>
      </c>
      <c r="I287" t="inlineStr">
        <is>
          <t>GIR Calculation</t>
        </is>
      </c>
      <c r="J287" t="inlineStr">
        <is>
          <t>Group Tax</t>
        </is>
      </c>
      <c r="K287" t="inlineStr">
        <is>
          <t>Critical</t>
        </is>
      </c>
      <c r="L287" t="inlineStr">
        <is>
          <t>&gt;= 0</t>
        </is>
      </c>
      <c r="M287" t="inlineStr">
        <is>
          <t>Primary mechanism</t>
        </is>
      </c>
      <c r="N287" t="inlineStr">
        <is>
          <t>Not Started</t>
        </is>
      </c>
    </row>
    <row r="288">
      <c r="A288" t="inlineStr">
        <is>
          <t>S3-197</t>
        </is>
      </c>
      <c r="B288" t="inlineStr">
        <is>
          <t>Section 3</t>
        </is>
      </c>
      <c r="C288" t="inlineStr">
        <is>
          <t>3.20 Summary Calcs</t>
        </is>
      </c>
      <c r="D288" t="inlineStr">
        <is>
          <t>TotalUTPRAllocation</t>
        </is>
      </c>
      <c r="E288" t="inlineStr">
        <is>
          <t>Total UTPR amount allocated</t>
        </is>
      </c>
      <c r="F288" t="inlineStr">
        <is>
          <t>Decimal</t>
        </is>
      </c>
      <c r="G288" t="inlineStr">
        <is>
          <t>Yes</t>
        </is>
      </c>
      <c r="H288" t="inlineStr">
        <is>
          <t>GIR/Summary/TotalUTPR</t>
        </is>
      </c>
      <c r="I288" t="inlineStr">
        <is>
          <t>GIR Calculation</t>
        </is>
      </c>
      <c r="J288" t="inlineStr">
        <is>
          <t>Group Tax</t>
        </is>
      </c>
      <c r="K288" t="inlineStr">
        <is>
          <t>Critical</t>
        </is>
      </c>
      <c r="L288" t="inlineStr">
        <is>
          <t>&gt;= 0</t>
        </is>
      </c>
      <c r="M288" t="inlineStr">
        <is>
          <t>Backstop amount</t>
        </is>
      </c>
      <c r="N288" t="inlineStr">
        <is>
          <t>Not Started</t>
        </is>
      </c>
    </row>
    <row r="289">
      <c r="A289" t="inlineStr">
        <is>
          <t>S3-198</t>
        </is>
      </c>
      <c r="B289" t="inlineStr">
        <is>
          <t>Section 3</t>
        </is>
      </c>
      <c r="C289" t="inlineStr">
        <is>
          <t>3.20 Summary Calcs</t>
        </is>
      </c>
      <c r="D289" t="inlineStr">
        <is>
          <t>TotalQDMTTCredits</t>
        </is>
      </c>
      <c r="E289" t="inlineStr">
        <is>
          <t>Total QDMTT credits</t>
        </is>
      </c>
      <c r="F289" t="inlineStr">
        <is>
          <t>Decimal</t>
        </is>
      </c>
      <c r="G289" t="inlineStr">
        <is>
          <t>Yes</t>
        </is>
      </c>
      <c r="H289" t="inlineStr">
        <is>
          <t>GIR/Summary/TotalQDMTT</t>
        </is>
      </c>
      <c r="I289" t="inlineStr">
        <is>
          <t>GIR Calculation</t>
        </is>
      </c>
      <c r="J289" t="inlineStr">
        <is>
          <t>Group Tax</t>
        </is>
      </c>
      <c r="K289" t="inlineStr">
        <is>
          <t>Critical</t>
        </is>
      </c>
      <c r="L289" t="inlineStr">
        <is>
          <t>&gt;= 0</t>
        </is>
      </c>
      <c r="M289" t="inlineStr">
        <is>
          <t>Domestic offset</t>
        </is>
      </c>
      <c r="N289" t="inlineStr">
        <is>
          <t>Not Started</t>
        </is>
      </c>
    </row>
    <row r="290">
      <c r="A290" t="inlineStr">
        <is>
          <t>S3-199</t>
        </is>
      </c>
      <c r="B290" t="inlineStr">
        <is>
          <t>Section 3</t>
        </is>
      </c>
      <c r="C290" t="inlineStr">
        <is>
          <t>3.20 Summary Calcs</t>
        </is>
      </c>
      <c r="D290" t="inlineStr">
        <is>
          <t>NetGroupTopUpTax</t>
        </is>
      </c>
      <c r="E290" t="inlineStr">
        <is>
          <t>Net group top-up tax</t>
        </is>
      </c>
      <c r="F290" t="inlineStr">
        <is>
          <t>Decimal</t>
        </is>
      </c>
      <c r="G290" t="inlineStr">
        <is>
          <t>Yes</t>
        </is>
      </c>
      <c r="H290" t="inlineStr">
        <is>
          <t>GIR/Summary/NetTopUpTax</t>
        </is>
      </c>
      <c r="I290" t="inlineStr">
        <is>
          <t>GIR Calculation</t>
        </is>
      </c>
      <c r="J290" t="inlineStr">
        <is>
          <t>Group Tax</t>
        </is>
      </c>
      <c r="K290" t="inlineStr">
        <is>
          <t>Critical</t>
        </is>
      </c>
      <c r="L290" t="inlineStr">
        <is>
          <t>&gt;= 0</t>
        </is>
      </c>
      <c r="M290" t="inlineStr">
        <is>
          <t>Final liability</t>
        </is>
      </c>
      <c r="N290" t="inlineStr">
        <is>
          <t>Not Started</t>
        </is>
      </c>
    </row>
    <row r="291">
      <c r="A291" t="inlineStr">
        <is>
          <t>S3-200</t>
        </is>
      </c>
      <c r="B291" t="inlineStr">
        <is>
          <t>Section 3</t>
        </is>
      </c>
      <c r="C291" t="inlineStr">
        <is>
          <t>3.20 Summary Calcs</t>
        </is>
      </c>
      <c r="D291" t="inlineStr">
        <is>
          <t>GIRCompletionStatus</t>
        </is>
      </c>
      <c r="E291" t="inlineStr">
        <is>
          <t>GIR completion status</t>
        </is>
      </c>
      <c r="F291" t="inlineStr">
        <is>
          <t>Enumeration</t>
        </is>
      </c>
      <c r="G291" t="inlineStr">
        <is>
          <t>Yes</t>
        </is>
      </c>
      <c r="H291" t="inlineStr">
        <is>
          <t>GIR/Summary/CompletionStatus</t>
        </is>
      </c>
      <c r="I291" t="inlineStr">
        <is>
          <t>GIR Workflow</t>
        </is>
      </c>
      <c r="J291" t="inlineStr">
        <is>
          <t>Group Tax</t>
        </is>
      </c>
      <c r="K291" t="inlineStr">
        <is>
          <t>Critical</t>
        </is>
      </c>
      <c r="L291" t="inlineStr">
        <is>
          <t>Draft/Ready/Submitted</t>
        </is>
      </c>
      <c r="M291" t="inlineStr">
        <is>
          <t>Workflow state</t>
        </is>
      </c>
      <c r="N291" t="inlineStr">
        <is>
          <t>Not Started</t>
        </is>
      </c>
    </row>
  </sheetData>
  <autoFilter ref="A1:N2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Collection_Status</t>
        </is>
      </c>
      <c r="B1" s="3" t="inlineStr">
        <is>
          <t>Priority</t>
        </is>
      </c>
      <c r="C1" s="3" t="inlineStr">
        <is>
          <t>Required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Yes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No</t>
        </is>
      </c>
    </row>
    <row r="4">
      <c r="A4" t="inlineStr">
        <is>
          <t>Completed</t>
        </is>
      </c>
      <c r="B4" t="inlineStr">
        <is>
          <t>Medium</t>
        </is>
      </c>
      <c r="C4" t="inlineStr">
        <is>
          <t>Conditional</t>
        </is>
      </c>
    </row>
    <row r="5">
      <c r="A5" t="inlineStr">
        <is>
          <t>Under Review</t>
        </is>
      </c>
      <c r="B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2025-12-02T14:22:21Z</dcterms:created>
  <dcterms:modified xsi:type="dcterms:W3CDTF">2025-12-02T14:22:21Z</dcterms:modified>
</cp:coreProperties>
</file>