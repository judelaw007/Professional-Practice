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Deadlines" sheetId="2" state="visible" r:id="rId2"/>
    <sheet name="iCal_Export" sheetId="3" state="visible" r:id="rId3"/>
    <sheet name="Lookups" sheetId="4" state="visible" r:id="rId4"/>
  </sheets>
  <definedNames>
    <definedName name="_xlnm._FilterDatabase" localSheetId="1" hidden="1">'Deadlines'!$A$1:$AB$11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9">
    <font>
      <name val="Calibri"/>
      <family val="2"/>
      <color theme="1"/>
      <sz val="11"/>
      <scheme val="minor"/>
    </font>
    <font>
      <b val="1"/>
      <color rgb="00FFFFFF"/>
      <sz val="18"/>
    </font>
    <font>
      <i val="1"/>
    </font>
    <font>
      <b val="1"/>
    </font>
    <font>
      <b val="1"/>
      <sz val="14"/>
    </font>
    <font>
      <b val="1"/>
      <sz val="12"/>
    </font>
    <font>
      <b val="1"/>
      <color rgb="00FFFFFF"/>
      <sz val="9"/>
    </font>
    <font>
      <name val="Courier New"/>
      <sz val="10"/>
    </font>
    <font>
      <name val="Courier New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2F3"/>
        <b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3" borderId="0" pivotButton="0" quotePrefix="0" xfId="0"/>
    <xf numFmtId="0" fontId="6" fillId="2" borderId="0" applyAlignment="1" pivotButton="0" quotePrefix="0" xfId="0">
      <alignment wrapText="1"/>
    </xf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5" customWidth="1" min="3" max="3"/>
    <col width="18" customWidth="1" min="4" max="4"/>
    <col width="15" customWidth="1" min="5" max="5"/>
  </cols>
  <sheetData>
    <row r="1">
      <c r="A1" s="1" t="inlineStr">
        <is>
          <t>MULTI-JURISDICTION DEADLINE CALENDAR</t>
        </is>
      </c>
    </row>
    <row r="2">
      <c r="A2" s="2" t="inlineStr">
        <is>
          <t>Per OECD GloBE Administrative Guidance - January 2025</t>
        </is>
      </c>
    </row>
    <row r="4">
      <c r="A4" s="3" t="inlineStr">
        <is>
          <t>TODAY'S DATE:</t>
        </is>
      </c>
      <c r="B4" s="4">
        <f>TODAY()</f>
        <v/>
      </c>
      <c r="D4" s="3" t="inlineStr">
        <is>
          <t>Fiscal Year End:</t>
        </is>
      </c>
      <c r="E4" t="inlineStr">
        <is>
          <t>2024-12-31</t>
        </is>
      </c>
    </row>
    <row r="6">
      <c r="A6" s="5" t="inlineStr">
        <is>
          <t>DEADLINE SUMMARY</t>
        </is>
      </c>
      <c r="D6" s="6" t="inlineStr">
        <is>
          <t>BY OBLIGATION TYPE</t>
        </is>
      </c>
    </row>
    <row r="8">
      <c r="A8" t="inlineStr">
        <is>
          <t>Total Obligations:</t>
        </is>
      </c>
      <c r="B8">
        <f>COUNTA(Deadlines!A:A)-1</f>
        <v/>
      </c>
      <c r="D8" t="inlineStr">
        <is>
          <t>Registration:</t>
        </is>
      </c>
      <c r="E8">
        <f>COUNTIF(Deadlines!D:D,"Registration")</f>
        <v/>
      </c>
    </row>
    <row r="9">
      <c r="A9" t="inlineStr">
        <is>
          <t>Completed:</t>
        </is>
      </c>
      <c r="B9">
        <f>COUNTIF(Deadlines!W:W,"Filed")+COUNTIF(Deadlines!W:W,"Confirmed")</f>
        <v/>
      </c>
      <c r="D9" t="inlineStr">
        <is>
          <t>GIR Filing:</t>
        </is>
      </c>
      <c r="E9">
        <f>COUNTIF(Deadlines!D:D,"GIR Filing")</f>
        <v/>
      </c>
    </row>
    <row r="10">
      <c r="A10" t="inlineStr">
        <is>
          <t>Pending:</t>
        </is>
      </c>
      <c r="B10">
        <f>COUNTIF(Deadlines!W:W,"Pending")+COUNTIF(Deadlines!W:W,"In Progress")</f>
        <v/>
      </c>
      <c r="D10" t="inlineStr">
        <is>
          <t>Local Returns:</t>
        </is>
      </c>
      <c r="E10">
        <f>COUNTIF(Deadlines!D:D,"Local Return")</f>
        <v/>
      </c>
    </row>
    <row r="11">
      <c r="A11" t="inlineStr">
        <is>
          <t>Overdue:</t>
        </is>
      </c>
      <c r="B11">
        <f>COUNTIFS(Deadlines!G:G,"&lt;"&amp;B4,Deadlines!W:W,"Pending")</f>
        <v/>
      </c>
      <c r="D11" t="inlineStr">
        <is>
          <t>Payment:</t>
        </is>
      </c>
      <c r="E11">
        <f>COUNTIF(Deadlines!D:D,"Payment")</f>
        <v/>
      </c>
    </row>
    <row r="12">
      <c r="A12" t="inlineStr">
        <is>
          <t>Due in 30 Days:</t>
        </is>
      </c>
      <c r="B12">
        <f>COUNTIFS(Deadlines!G:G,"&gt;="&amp;B4,Deadlines!G:G,"&lt;="&amp;B4+30,Deadlines!W:W,"Pending")</f>
        <v/>
      </c>
    </row>
    <row r="13">
      <c r="A13" t="inlineStr">
        <is>
          <t>Due in 60 Days:</t>
        </is>
      </c>
      <c r="B13">
        <f>COUNTIFS(Deadlines!G:G,"&gt;="&amp;B4,Deadlines!G:G,"&lt;="&amp;B4+60,Deadlines!W:W,"Pending")</f>
        <v/>
      </c>
    </row>
    <row r="14">
      <c r="A14" t="inlineStr">
        <is>
          <t>Due in 90 Days:</t>
        </is>
      </c>
      <c r="B14">
        <f>COUNTIFS(Deadlines!G:G,"&gt;="&amp;B4,Deadlines!G:G,"&lt;="&amp;B4+90,Deadlines!W:W,"Pending")</f>
        <v/>
      </c>
    </row>
    <row r="16">
      <c r="A16" s="5" t="inlineStr">
        <is>
          <t>OECD FILING DEADLINE RULES</t>
        </is>
      </c>
    </row>
    <row r="18">
      <c r="A18" s="7" t="inlineStr">
        <is>
          <t>Rule</t>
        </is>
      </c>
      <c r="B18" s="7" t="inlineStr">
        <is>
          <t>Description</t>
        </is>
      </c>
      <c r="C18" s="7" t="inlineStr">
        <is>
          <t>Deadline</t>
        </is>
      </c>
    </row>
    <row r="19">
      <c r="A19" t="inlineStr">
        <is>
          <t>First Year Filing</t>
        </is>
      </c>
      <c r="B19" t="inlineStr">
        <is>
          <t>18 months from fiscal year end</t>
        </is>
      </c>
      <c r="C19" s="4">
        <f>DATE(YEAR(E4)+1,MONTH(E4)+6,DAY(E4))</f>
        <v/>
      </c>
    </row>
    <row r="20">
      <c r="A20" t="inlineStr">
        <is>
          <t>Subsequent Years</t>
        </is>
      </c>
      <c r="B20" t="inlineStr">
        <is>
          <t>15 months from fiscal year end</t>
        </is>
      </c>
      <c r="C20" s="4">
        <f>DATE(YEAR(E4)+1,MONTH(E4)+3,DAY(E4))</f>
        <v/>
      </c>
    </row>
    <row r="21">
      <c r="A21" t="inlineStr">
        <is>
          <t>Minimum Date</t>
        </is>
      </c>
      <c r="B21" t="inlineStr">
        <is>
          <t>No filing before 30 June 2026</t>
        </is>
      </c>
      <c r="C21" t="inlineStr">
        <is>
          <t>2026-06-30</t>
        </is>
      </c>
    </row>
    <row r="22">
      <c r="A22" t="inlineStr">
        <is>
          <t>Registration</t>
        </is>
      </c>
      <c r="B22" t="inlineStr">
        <is>
          <t>6 months from first AP end (varies by jurisdiction)</t>
        </is>
      </c>
      <c r="C22" t="inlineStr">
        <is>
          <t>Varies</t>
        </is>
      </c>
    </row>
    <row r="24">
      <c r="A24" s="5" t="inlineStr">
        <is>
          <t>NEXT 5 UPCOMING DEADLINES</t>
        </is>
      </c>
    </row>
    <row r="26">
      <c r="A26" s="7" t="inlineStr">
        <is>
          <t>Jurisdiction</t>
        </is>
      </c>
      <c r="B26" s="7" t="inlineStr">
        <is>
          <t>Obligation</t>
        </is>
      </c>
      <c r="C26" s="7" t="inlineStr">
        <is>
          <t>Deadline</t>
        </is>
      </c>
      <c r="D26" s="7" t="inlineStr">
        <is>
          <t>Days Until</t>
        </is>
      </c>
      <c r="E26" s="7" t="inlineStr">
        <is>
          <t>Status</t>
        </is>
      </c>
    </row>
    <row r="27">
      <c r="A27">
        <f>INDEX(Deadlines!B:B,MATCH(SMALL(IF(Deadlines!G:G&gt;=$B$4,Deadlines!G:G),1),Deadlines!G:G,0))</f>
        <v/>
      </c>
      <c r="B27">
        <f>INDEX(Deadlines!E:E,MATCH(SMALL(IF(Deadlines!G:G&gt;=$B$4,Deadlines!G:G),1),Deadlines!G:G,0))</f>
        <v/>
      </c>
      <c r="C27" s="4">
        <f>SMALL(IF(Deadlines!G:G&gt;=$B$4,Deadlines!G:G),1)</f>
        <v/>
      </c>
      <c r="D27">
        <f>C27-$B$4</f>
        <v/>
      </c>
      <c r="E27">
        <f>INDEX(Deadlines!W:W,MATCH(SMALL(IF(Deadlines!G:G&gt;=$B$4,Deadlines!G:G),1),Deadlines!G:G,0))</f>
        <v/>
      </c>
    </row>
    <row r="28">
      <c r="A28">
        <f>INDEX(Deadlines!B:B,MATCH(SMALL(IF(Deadlines!G:G&gt;=$B$4,Deadlines!G:G),2),Deadlines!G:G,0))</f>
        <v/>
      </c>
      <c r="B28">
        <f>INDEX(Deadlines!E:E,MATCH(SMALL(IF(Deadlines!G:G&gt;=$B$4,Deadlines!G:G),2),Deadlines!G:G,0))</f>
        <v/>
      </c>
      <c r="C28" s="4">
        <f>SMALL(IF(Deadlines!G:G&gt;=$B$4,Deadlines!G:G),2)</f>
        <v/>
      </c>
      <c r="D28">
        <f>C28-$B$4</f>
        <v/>
      </c>
      <c r="E28">
        <f>INDEX(Deadlines!W:W,MATCH(SMALL(IF(Deadlines!G:G&gt;=$B$4,Deadlines!G:G),2),Deadlines!G:G,0))</f>
        <v/>
      </c>
    </row>
    <row r="29">
      <c r="A29">
        <f>INDEX(Deadlines!B:B,MATCH(SMALL(IF(Deadlines!G:G&gt;=$B$4,Deadlines!G:G),3),Deadlines!G:G,0))</f>
        <v/>
      </c>
      <c r="B29">
        <f>INDEX(Deadlines!E:E,MATCH(SMALL(IF(Deadlines!G:G&gt;=$B$4,Deadlines!G:G),3),Deadlines!G:G,0))</f>
        <v/>
      </c>
      <c r="C29" s="4">
        <f>SMALL(IF(Deadlines!G:G&gt;=$B$4,Deadlines!G:G),3)</f>
        <v/>
      </c>
      <c r="D29">
        <f>C29-$B$4</f>
        <v/>
      </c>
      <c r="E29">
        <f>INDEX(Deadlines!W:W,MATCH(SMALL(IF(Deadlines!G:G&gt;=$B$4,Deadlines!G:G),3),Deadlines!G:G,0))</f>
        <v/>
      </c>
    </row>
    <row r="30">
      <c r="A30">
        <f>INDEX(Deadlines!B:B,MATCH(SMALL(IF(Deadlines!G:G&gt;=$B$4,Deadlines!G:G),4),Deadlines!G:G,0))</f>
        <v/>
      </c>
      <c r="B30">
        <f>INDEX(Deadlines!E:E,MATCH(SMALL(IF(Deadlines!G:G&gt;=$B$4,Deadlines!G:G),4),Deadlines!G:G,0))</f>
        <v/>
      </c>
      <c r="C30" s="4">
        <f>SMALL(IF(Deadlines!G:G&gt;=$B$4,Deadlines!G:G),4)</f>
        <v/>
      </c>
      <c r="D30">
        <f>C30-$B$4</f>
        <v/>
      </c>
      <c r="E30">
        <f>INDEX(Deadlines!W:W,MATCH(SMALL(IF(Deadlines!G:G&gt;=$B$4,Deadlines!G:G),4),Deadlines!G:G,0))</f>
        <v/>
      </c>
    </row>
    <row r="31">
      <c r="A31">
        <f>INDEX(Deadlines!B:B,MATCH(SMALL(IF(Deadlines!G:G&gt;=$B$4,Deadlines!G:G),5),Deadlines!G:G,0))</f>
        <v/>
      </c>
      <c r="B31">
        <f>INDEX(Deadlines!E:E,MATCH(SMALL(IF(Deadlines!G:G&gt;=$B$4,Deadlines!G:G),5),Deadlines!G:G,0))</f>
        <v/>
      </c>
      <c r="C31" s="4">
        <f>SMALL(IF(Deadlines!G:G&gt;=$B$4,Deadlines!G:G),5)</f>
        <v/>
      </c>
      <c r="D31">
        <f>C31-$B$4</f>
        <v/>
      </c>
      <c r="E31">
        <f>INDEX(Deadlines!W:W,MATCH(SMALL(IF(Deadlines!G:G&gt;=$B$4,Deadlines!G:G),5),Deadlines!G:G,0))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8" customWidth="1" min="3" max="3"/>
    <col width="12" customWidth="1" min="4" max="4"/>
    <col width="25" customWidth="1" min="5" max="5"/>
    <col width="25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8" customWidth="1" min="14" max="14"/>
    <col width="25" customWidth="1" min="15" max="15"/>
    <col width="25" customWidth="1" min="16" max="16"/>
    <col width="12" customWidth="1" min="17" max="17"/>
    <col width="12" customWidth="1" min="18" max="18"/>
    <col width="12" customWidth="1" min="19" max="19"/>
    <col width="12" customWidth="1" min="20" max="20"/>
    <col width="10" customWidth="1" min="21" max="21"/>
    <col width="15" customWidth="1" min="22" max="22"/>
    <col width="10" customWidth="1" min="23" max="23"/>
    <col width="12" customWidth="1" min="24" max="24"/>
    <col width="15" customWidth="1" min="25" max="25"/>
    <col width="25" customWidth="1" min="26" max="26"/>
    <col width="12" customWidth="1" min="27" max="27"/>
    <col width="12" customWidth="1" min="28" max="28"/>
  </cols>
  <sheetData>
    <row r="1">
      <c r="A1" s="8" t="inlineStr">
        <is>
          <t>Event_ID</t>
        </is>
      </c>
      <c r="B1" s="8" t="inlineStr">
        <is>
          <t>Jurisdiction</t>
        </is>
      </c>
      <c r="C1" s="8" t="inlineStr">
        <is>
          <t>Country_Code</t>
        </is>
      </c>
      <c r="D1" s="8" t="inlineStr">
        <is>
          <t>Obligation_Type</t>
        </is>
      </c>
      <c r="E1" s="8" t="inlineStr">
        <is>
          <t>Event_Title</t>
        </is>
      </c>
      <c r="F1" s="8" t="inlineStr">
        <is>
          <t>Event_Description</t>
        </is>
      </c>
      <c r="G1" s="8" t="inlineStr">
        <is>
          <t>Deadline_Date</t>
        </is>
      </c>
      <c r="H1" s="8" t="inlineStr">
        <is>
          <t>FY_End_Dec2024</t>
        </is>
      </c>
      <c r="I1" s="8" t="inlineStr">
        <is>
          <t>FY_End_Mar2025</t>
        </is>
      </c>
      <c r="J1" s="8" t="inlineStr">
        <is>
          <t>FY_End_Jun2025</t>
        </is>
      </c>
      <c r="K1" s="8" t="inlineStr">
        <is>
          <t>FY_End_Dec2025</t>
        </is>
      </c>
      <c r="L1" s="8" t="inlineStr">
        <is>
          <t>First_Year_Rule</t>
        </is>
      </c>
      <c r="M1" s="8" t="inlineStr">
        <is>
          <t>Standard_Rule</t>
        </is>
      </c>
      <c r="N1" s="8" t="inlineStr">
        <is>
          <t>Portal_Name</t>
        </is>
      </c>
      <c r="O1" s="8" t="inlineStr">
        <is>
          <t>Portal_URL</t>
        </is>
      </c>
      <c r="P1" s="8" t="inlineStr">
        <is>
          <t>Contact_Email</t>
        </is>
      </c>
      <c r="Q1" s="8" t="inlineStr">
        <is>
          <t>Reminder_90_Days</t>
        </is>
      </c>
      <c r="R1" s="8" t="inlineStr">
        <is>
          <t>Reminder_60_Days</t>
        </is>
      </c>
      <c r="S1" s="8" t="inlineStr">
        <is>
          <t>Reminder_30_Days</t>
        </is>
      </c>
      <c r="T1" s="8" t="inlineStr">
        <is>
          <t>Reminder_14_Days</t>
        </is>
      </c>
      <c r="U1" s="8" t="inlineStr">
        <is>
          <t>Priority</t>
        </is>
      </c>
      <c r="V1" s="8" t="inlineStr">
        <is>
          <t>Owner</t>
        </is>
      </c>
      <c r="W1" s="8" t="inlineStr">
        <is>
          <t>Status</t>
        </is>
      </c>
      <c r="X1" s="8" t="inlineStr">
        <is>
          <t>Completion_Date</t>
        </is>
      </c>
      <c r="Y1" s="8" t="inlineStr">
        <is>
          <t>Filing_Reference</t>
        </is>
      </c>
      <c r="Z1" s="8" t="inlineStr">
        <is>
          <t>Notes</t>
        </is>
      </c>
      <c r="AA1" s="8" t="inlineStr">
        <is>
          <t>Days_Until_Deadline</t>
        </is>
      </c>
      <c r="AB1" s="8" t="inlineStr">
        <is>
          <t>Alert_Status</t>
        </is>
      </c>
    </row>
    <row r="2">
      <c r="A2" t="inlineStr">
        <is>
          <t>GB-REG-001</t>
        </is>
      </c>
      <c r="B2" t="inlineStr">
        <is>
          <t>United Kingdom</t>
        </is>
      </c>
      <c r="C2" t="inlineStr">
        <is>
          <t>GB</t>
        </is>
      </c>
      <c r="D2" t="inlineStr">
        <is>
          <t>Registration</t>
        </is>
      </c>
      <c r="E2" t="inlineStr">
        <is>
          <t>UK MTT/DTT Registration</t>
        </is>
      </c>
      <c r="F2" t="inlineStr">
        <is>
          <t>Register with HMRC for Pillar 2</t>
        </is>
      </c>
      <c r="G2" s="4" t="inlineStr">
        <is>
          <t>2025-06-30</t>
        </is>
      </c>
      <c r="H2" s="4" t="inlineStr">
        <is>
          <t>2025-06-30</t>
        </is>
      </c>
      <c r="I2" s="4" t="inlineStr">
        <is>
          <t>2025-09-30</t>
        </is>
      </c>
      <c r="J2" s="4" t="inlineStr">
        <is>
          <t>2025-12-31</t>
        </is>
      </c>
      <c r="K2" s="4" t="inlineStr">
        <is>
          <t>2026-06-30</t>
        </is>
      </c>
      <c r="L2" t="inlineStr">
        <is>
          <t>6 months</t>
        </is>
      </c>
      <c r="M2" t="inlineStr">
        <is>
          <t>One-time</t>
        </is>
      </c>
      <c r="N2" t="inlineStr">
        <is>
          <t>HMRC Pillar 2</t>
        </is>
      </c>
      <c r="O2" t="inlineStr">
        <is>
          <t>https://www.gov.uk/guidance/report-pillar-2-top-up-taxes</t>
        </is>
      </c>
      <c r="P2" t="inlineStr">
        <is>
          <t>pillar2.mailbox@hmrc.gov.uk</t>
        </is>
      </c>
      <c r="Q2" s="4">
        <f>G2-90</f>
        <v/>
      </c>
      <c r="R2" s="4">
        <f>G2-60</f>
        <v/>
      </c>
      <c r="S2" s="4">
        <f>G2-30</f>
        <v/>
      </c>
      <c r="T2" s="4">
        <f>G2-14</f>
        <v/>
      </c>
      <c r="U2" t="inlineStr">
        <is>
          <t>Critical</t>
        </is>
      </c>
      <c r="V2" t="inlineStr">
        <is>
          <t>Tax Director</t>
        </is>
      </c>
      <c r="W2" t="inlineStr">
        <is>
          <t>Pending</t>
        </is>
      </c>
      <c r="X2" t="inlineStr"/>
      <c r="Y2" t="inlineStr"/>
      <c r="Z2" t="inlineStr"/>
      <c r="AA2">
        <f>G2-TODAY()</f>
        <v/>
      </c>
      <c r="AB2">
        <f>IF(W2="Filed","Complete",IF(AA2&lt;0,"OVERDUE",IF(AA2&lt;=14,"URGENT",IF(AA2&lt;=30,"DUE SOON",IF(AA2&lt;=60,"APPROACHING","OK")))))</f>
        <v/>
      </c>
    </row>
    <row r="3">
      <c r="A3" t="inlineStr">
        <is>
          <t>GB-GIR-001</t>
        </is>
      </c>
      <c r="B3" t="inlineStr">
        <is>
          <t>United Kingdom</t>
        </is>
      </c>
      <c r="C3" t="inlineStr">
        <is>
          <t>GB</t>
        </is>
      </c>
      <c r="D3" t="inlineStr">
        <is>
          <t>GIR Filing</t>
        </is>
      </c>
      <c r="E3" t="inlineStr">
        <is>
          <t>UK GIR Filing (FY2024)</t>
        </is>
      </c>
      <c r="F3" t="inlineStr">
        <is>
          <t>File GIR with HMRC via XML API</t>
        </is>
      </c>
      <c r="G3" s="4" t="inlineStr">
        <is>
          <t>2026-06-30</t>
        </is>
      </c>
      <c r="H3" s="4" t="inlineStr">
        <is>
          <t>2026-06-30</t>
        </is>
      </c>
      <c r="I3" s="4" t="inlineStr">
        <is>
          <t>2026-09-30</t>
        </is>
      </c>
      <c r="J3" s="4" t="inlineStr">
        <is>
          <t>2026-12-31</t>
        </is>
      </c>
      <c r="K3" s="4" t="inlineStr">
        <is>
          <t>2027-03-31</t>
        </is>
      </c>
      <c r="L3" t="inlineStr">
        <is>
          <t>18 months</t>
        </is>
      </c>
      <c r="M3" t="inlineStr">
        <is>
          <t>15 months</t>
        </is>
      </c>
      <c r="N3" t="inlineStr">
        <is>
          <t>HMRC Pillar 2</t>
        </is>
      </c>
      <c r="O3" t="inlineStr">
        <is>
          <t>https://www.gov.uk/guidance/report-pillar-2-top-up-taxes</t>
        </is>
      </c>
      <c r="P3" t="inlineStr">
        <is>
          <t>pillar2.mailbox@hmrc.gov.uk</t>
        </is>
      </c>
      <c r="Q3" s="4">
        <f>G3-90</f>
        <v/>
      </c>
      <c r="R3" s="4">
        <f>G3-60</f>
        <v/>
      </c>
      <c r="S3" s="4">
        <f>G3-30</f>
        <v/>
      </c>
      <c r="T3" s="4">
        <f>G3-14</f>
        <v/>
      </c>
      <c r="U3" t="inlineStr">
        <is>
          <t>Critical</t>
        </is>
      </c>
      <c r="V3" t="inlineStr">
        <is>
          <t>GIR Lead</t>
        </is>
      </c>
      <c r="W3" t="inlineStr">
        <is>
          <t>Pending</t>
        </is>
      </c>
      <c r="X3" t="inlineStr"/>
      <c r="Y3" t="inlineStr"/>
      <c r="Z3" t="inlineStr"/>
      <c r="AA3">
        <f>G3-TODAY()</f>
        <v/>
      </c>
      <c r="AB3">
        <f>IF(W3="Filed","Complete",IF(AA3&lt;0,"OVERDUE",IF(AA3&lt;=14,"URGENT",IF(AA3&lt;=30,"DUE SOON",IF(AA3&lt;=60,"APPROACHING","OK")))))</f>
        <v/>
      </c>
    </row>
    <row r="4">
      <c r="A4" t="inlineStr">
        <is>
          <t>GB-PAY-001</t>
        </is>
      </c>
      <c r="B4" t="inlineStr">
        <is>
          <t>United Kingdom</t>
        </is>
      </c>
      <c r="C4" t="inlineStr">
        <is>
          <t>GB</t>
        </is>
      </c>
      <c r="D4" t="inlineStr">
        <is>
          <t>Payment</t>
        </is>
      </c>
      <c r="E4" t="inlineStr">
        <is>
          <t>UK MTT/DTT Payment</t>
        </is>
      </c>
      <c r="F4" t="inlineStr">
        <is>
          <t>Pay MTT/DTT liability</t>
        </is>
      </c>
      <c r="G4" s="4" t="inlineStr">
        <is>
          <t>2026-06-30</t>
        </is>
      </c>
      <c r="H4" s="4" t="inlineStr">
        <is>
          <t>2026-06-30</t>
        </is>
      </c>
      <c r="I4" s="4" t="inlineStr">
        <is>
          <t>2026-09-30</t>
        </is>
      </c>
      <c r="J4" s="4" t="inlineStr">
        <is>
          <t>2026-12-31</t>
        </is>
      </c>
      <c r="K4" s="4" t="inlineStr">
        <is>
          <t>2027-03-31</t>
        </is>
      </c>
      <c r="L4" t="inlineStr">
        <is>
          <t>18 months</t>
        </is>
      </c>
      <c r="M4" t="inlineStr">
        <is>
          <t>15 months</t>
        </is>
      </c>
      <c r="N4" t="inlineStr">
        <is>
          <t>HMRC Payment</t>
        </is>
      </c>
      <c r="O4" t="inlineStr">
        <is>
          <t>https://www.gov.uk/pay-tax</t>
        </is>
      </c>
      <c r="P4" t="inlineStr"/>
      <c r="Q4" s="4">
        <f>G4-90</f>
        <v/>
      </c>
      <c r="R4" s="4">
        <f>G4-60</f>
        <v/>
      </c>
      <c r="S4" s="4">
        <f>G4-30</f>
        <v/>
      </c>
      <c r="T4" s="4">
        <f>G4-14</f>
        <v/>
      </c>
      <c r="U4" t="inlineStr">
        <is>
          <t>Critical</t>
        </is>
      </c>
      <c r="V4" t="inlineStr">
        <is>
          <t>Treasury</t>
        </is>
      </c>
      <c r="W4" t="inlineStr">
        <is>
          <t>Pending</t>
        </is>
      </c>
      <c r="X4" t="inlineStr"/>
      <c r="Y4" t="inlineStr"/>
      <c r="Z4" t="inlineStr"/>
      <c r="AA4">
        <f>G4-TODAY()</f>
        <v/>
      </c>
      <c r="AB4">
        <f>IF(W4="Filed","Complete",IF(AA4&lt;0,"OVERDUE",IF(AA4&lt;=14,"URGENT",IF(AA4&lt;=30,"DUE SOON",IF(AA4&lt;=60,"APPROACHING","OK")))))</f>
        <v/>
      </c>
    </row>
    <row r="5">
      <c r="A5" t="inlineStr">
        <is>
          <t>DE-REG-001</t>
        </is>
      </c>
      <c r="B5" t="inlineStr">
        <is>
          <t>Germany</t>
        </is>
      </c>
      <c r="C5" t="inlineStr">
        <is>
          <t>DE</t>
        </is>
      </c>
      <c r="D5" t="inlineStr">
        <is>
          <t>Registration</t>
        </is>
      </c>
      <c r="E5" t="inlineStr">
        <is>
          <t>DE BZSt Registration</t>
        </is>
      </c>
      <c r="F5" t="inlineStr">
        <is>
          <t>Register with BZSt</t>
        </is>
      </c>
      <c r="G5" s="4" t="inlineStr">
        <is>
          <t>2025-06-30</t>
        </is>
      </c>
      <c r="H5" s="4" t="inlineStr">
        <is>
          <t>2025-06-30</t>
        </is>
      </c>
      <c r="I5" s="4" t="inlineStr">
        <is>
          <t>2025-09-30</t>
        </is>
      </c>
      <c r="J5" s="4" t="inlineStr">
        <is>
          <t>2025-12-31</t>
        </is>
      </c>
      <c r="K5" s="4" t="inlineStr">
        <is>
          <t>2026-06-30</t>
        </is>
      </c>
      <c r="L5" t="inlineStr">
        <is>
          <t>6 months</t>
        </is>
      </c>
      <c r="M5" t="inlineStr">
        <is>
          <t>One-time</t>
        </is>
      </c>
      <c r="N5" t="inlineStr">
        <is>
          <t>BZSt Portal</t>
        </is>
      </c>
      <c r="O5" t="inlineStr">
        <is>
          <t>https://www.bzst.de</t>
        </is>
      </c>
      <c r="P5" t="inlineStr"/>
      <c r="Q5" s="4">
        <f>G5-90</f>
        <v/>
      </c>
      <c r="R5" s="4">
        <f>G5-60</f>
        <v/>
      </c>
      <c r="S5" s="4">
        <f>G5-30</f>
        <v/>
      </c>
      <c r="T5" s="4">
        <f>G5-14</f>
        <v/>
      </c>
      <c r="U5" t="inlineStr">
        <is>
          <t>Critical</t>
        </is>
      </c>
      <c r="V5" t="inlineStr">
        <is>
          <t>Tax Director</t>
        </is>
      </c>
      <c r="W5" t="inlineStr">
        <is>
          <t>Pending</t>
        </is>
      </c>
      <c r="X5" t="inlineStr"/>
      <c r="Y5" t="inlineStr"/>
      <c r="Z5" t="inlineStr"/>
      <c r="AA5">
        <f>G5-TODAY()</f>
        <v/>
      </c>
      <c r="AB5">
        <f>IF(W5="Filed","Complete",IF(AA5&lt;0,"OVERDUE",IF(AA5&lt;=14,"URGENT",IF(AA5&lt;=30,"DUE SOON",IF(AA5&lt;=60,"APPROACHING","OK")))))</f>
        <v/>
      </c>
    </row>
    <row r="6">
      <c r="A6" t="inlineStr">
        <is>
          <t>DE-GIR-001</t>
        </is>
      </c>
      <c r="B6" t="inlineStr">
        <is>
          <t>Germany</t>
        </is>
      </c>
      <c r="C6" t="inlineStr">
        <is>
          <t>DE</t>
        </is>
      </c>
      <c r="D6" t="inlineStr">
        <is>
          <t>GIR Filing</t>
        </is>
      </c>
      <c r="E6" t="inlineStr">
        <is>
          <t>DE GIR Filing (FY2024)</t>
        </is>
      </c>
      <c r="F6" t="inlineStr">
        <is>
          <t>File Mindeststeuer-Bericht</t>
        </is>
      </c>
      <c r="G6" s="4" t="inlineStr">
        <is>
          <t>2026-06-30</t>
        </is>
      </c>
      <c r="H6" s="4" t="inlineStr">
        <is>
          <t>2026-06-30</t>
        </is>
      </c>
      <c r="I6" s="4" t="inlineStr">
        <is>
          <t>2026-09-30</t>
        </is>
      </c>
      <c r="J6" s="4" t="inlineStr">
        <is>
          <t>2026-12-31</t>
        </is>
      </c>
      <c r="K6" s="4" t="inlineStr">
        <is>
          <t>2027-03-31</t>
        </is>
      </c>
      <c r="L6" t="inlineStr">
        <is>
          <t>18 months</t>
        </is>
      </c>
      <c r="M6" t="inlineStr">
        <is>
          <t>15 months</t>
        </is>
      </c>
      <c r="N6" t="inlineStr">
        <is>
          <t>BZSt Portal</t>
        </is>
      </c>
      <c r="O6" t="inlineStr">
        <is>
          <t>https://www.bzst.de</t>
        </is>
      </c>
      <c r="P6" t="inlineStr"/>
      <c r="Q6" s="4">
        <f>G6-90</f>
        <v/>
      </c>
      <c r="R6" s="4">
        <f>G6-60</f>
        <v/>
      </c>
      <c r="S6" s="4">
        <f>G6-30</f>
        <v/>
      </c>
      <c r="T6" s="4">
        <f>G6-14</f>
        <v/>
      </c>
      <c r="U6" t="inlineStr">
        <is>
          <t>Critical</t>
        </is>
      </c>
      <c r="V6" t="inlineStr">
        <is>
          <t>GIR Lead</t>
        </is>
      </c>
      <c r="W6" t="inlineStr">
        <is>
          <t>Pending</t>
        </is>
      </c>
      <c r="X6" t="inlineStr"/>
      <c r="Y6" t="inlineStr"/>
      <c r="Z6" t="inlineStr"/>
      <c r="AA6">
        <f>G6-TODAY()</f>
        <v/>
      </c>
      <c r="AB6">
        <f>IF(W6="Filed","Complete",IF(AA6&lt;0,"OVERDUE",IF(AA6&lt;=14,"URGENT",IF(AA6&lt;=30,"DUE SOON",IF(AA6&lt;=60,"APPROACHING","OK")))))</f>
        <v/>
      </c>
    </row>
    <row r="7">
      <c r="A7" t="inlineStr">
        <is>
          <t>NL-GIR-001</t>
        </is>
      </c>
      <c r="B7" t="inlineStr">
        <is>
          <t>Netherlands</t>
        </is>
      </c>
      <c r="C7" t="inlineStr">
        <is>
          <t>NL</t>
        </is>
      </c>
      <c r="D7" t="inlineStr">
        <is>
          <t>GIR Filing</t>
        </is>
      </c>
      <c r="E7" t="inlineStr">
        <is>
          <t>NL GIR Filing (FY2024)</t>
        </is>
      </c>
      <c r="F7" t="inlineStr">
        <is>
          <t>File GIR via Belastingdienst</t>
        </is>
      </c>
      <c r="G7" s="4" t="inlineStr">
        <is>
          <t>2026-06-30</t>
        </is>
      </c>
      <c r="H7" s="4" t="inlineStr">
        <is>
          <t>2026-06-30</t>
        </is>
      </c>
      <c r="I7" s="4" t="inlineStr">
        <is>
          <t>2026-09-30</t>
        </is>
      </c>
      <c r="J7" s="4" t="inlineStr">
        <is>
          <t>2026-12-31</t>
        </is>
      </c>
      <c r="K7" s="4" t="inlineStr">
        <is>
          <t>2027-03-31</t>
        </is>
      </c>
      <c r="L7" t="inlineStr">
        <is>
          <t>18 months</t>
        </is>
      </c>
      <c r="M7" t="inlineStr">
        <is>
          <t>15 months</t>
        </is>
      </c>
      <c r="N7" t="inlineStr">
        <is>
          <t>Belastingdienst</t>
        </is>
      </c>
      <c r="O7" t="inlineStr">
        <is>
          <t>https://www.belastingdienst.nl</t>
        </is>
      </c>
      <c r="P7" t="inlineStr"/>
      <c r="Q7" s="4">
        <f>G7-90</f>
        <v/>
      </c>
      <c r="R7" s="4">
        <f>G7-60</f>
        <v/>
      </c>
      <c r="S7" s="4">
        <f>G7-30</f>
        <v/>
      </c>
      <c r="T7" s="4">
        <f>G7-14</f>
        <v/>
      </c>
      <c r="U7" t="inlineStr">
        <is>
          <t>Critical</t>
        </is>
      </c>
      <c r="V7" t="inlineStr">
        <is>
          <t>GIR Lead</t>
        </is>
      </c>
      <c r="W7" t="inlineStr">
        <is>
          <t>Pending</t>
        </is>
      </c>
      <c r="X7" t="inlineStr"/>
      <c r="Y7" t="inlineStr"/>
      <c r="Z7" t="inlineStr"/>
      <c r="AA7">
        <f>G7-TODAY()</f>
        <v/>
      </c>
      <c r="AB7">
        <f>IF(W7="Filed","Complete",IF(AA7&lt;0,"OVERDUE",IF(AA7&lt;=14,"URGENT",IF(AA7&lt;=30,"DUE SOON",IF(AA7&lt;=60,"APPROACHING","OK")))))</f>
        <v/>
      </c>
    </row>
    <row r="8">
      <c r="A8" t="inlineStr">
        <is>
          <t>FR-GIR-001</t>
        </is>
      </c>
      <c r="B8" t="inlineStr">
        <is>
          <t>France</t>
        </is>
      </c>
      <c r="C8" t="inlineStr">
        <is>
          <t>FR</t>
        </is>
      </c>
      <c r="D8" t="inlineStr">
        <is>
          <t>GIR Filing</t>
        </is>
      </c>
      <c r="E8" t="inlineStr">
        <is>
          <t>FR GIR Filing (FY2024)</t>
        </is>
      </c>
      <c r="F8" t="inlineStr">
        <is>
          <t>File Form 2065-INT-SD</t>
        </is>
      </c>
      <c r="G8" s="4" t="inlineStr">
        <is>
          <t>2026-06-30</t>
        </is>
      </c>
      <c r="H8" s="4" t="inlineStr">
        <is>
          <t>2026-06-30</t>
        </is>
      </c>
      <c r="I8" s="4" t="inlineStr">
        <is>
          <t>2026-09-30</t>
        </is>
      </c>
      <c r="J8" s="4" t="inlineStr">
        <is>
          <t>2026-12-31</t>
        </is>
      </c>
      <c r="K8" s="4" t="inlineStr">
        <is>
          <t>2027-03-31</t>
        </is>
      </c>
      <c r="L8" t="inlineStr">
        <is>
          <t>18 months</t>
        </is>
      </c>
      <c r="M8" t="inlineStr">
        <is>
          <t>15 months</t>
        </is>
      </c>
      <c r="N8" t="inlineStr">
        <is>
          <t>impots.gouv.fr</t>
        </is>
      </c>
      <c r="O8" t="inlineStr">
        <is>
          <t>https://www.impots.gouv.fr</t>
        </is>
      </c>
      <c r="P8" t="inlineStr"/>
      <c r="Q8" s="4">
        <f>G8-90</f>
        <v/>
      </c>
      <c r="R8" s="4">
        <f>G8-60</f>
        <v/>
      </c>
      <c r="S8" s="4">
        <f>G8-30</f>
        <v/>
      </c>
      <c r="T8" s="4">
        <f>G8-14</f>
        <v/>
      </c>
      <c r="U8" t="inlineStr">
        <is>
          <t>Critical</t>
        </is>
      </c>
      <c r="V8" t="inlineStr">
        <is>
          <t>GIR Lead</t>
        </is>
      </c>
      <c r="W8" t="inlineStr">
        <is>
          <t>Pending</t>
        </is>
      </c>
      <c r="X8" t="inlineStr"/>
      <c r="Y8" t="inlineStr"/>
      <c r="Z8" t="inlineStr"/>
      <c r="AA8">
        <f>G8-TODAY()</f>
        <v/>
      </c>
      <c r="AB8">
        <f>IF(W8="Filed","Complete",IF(AA8&lt;0,"OVERDUE",IF(AA8&lt;=14,"URGENT",IF(AA8&lt;=30,"DUE SOON",IF(AA8&lt;=60,"APPROACHING","OK")))))</f>
        <v/>
      </c>
    </row>
    <row r="9">
      <c r="A9" t="inlineStr">
        <is>
          <t>IE-GIR-001</t>
        </is>
      </c>
      <c r="B9" t="inlineStr">
        <is>
          <t>Ireland</t>
        </is>
      </c>
      <c r="C9" t="inlineStr">
        <is>
          <t>IE</t>
        </is>
      </c>
      <c r="D9" t="inlineStr">
        <is>
          <t>GIR Filing</t>
        </is>
      </c>
      <c r="E9" t="inlineStr">
        <is>
          <t>IE GIR Filing (FY2024)</t>
        </is>
      </c>
      <c r="F9" t="inlineStr">
        <is>
          <t>File GIR via ROS</t>
        </is>
      </c>
      <c r="G9" s="4" t="inlineStr">
        <is>
          <t>2026-06-30</t>
        </is>
      </c>
      <c r="H9" s="4" t="inlineStr">
        <is>
          <t>2026-06-30</t>
        </is>
      </c>
      <c r="I9" s="4" t="inlineStr">
        <is>
          <t>2026-09-30</t>
        </is>
      </c>
      <c r="J9" s="4" t="inlineStr">
        <is>
          <t>2026-12-31</t>
        </is>
      </c>
      <c r="K9" s="4" t="inlineStr">
        <is>
          <t>2027-03-31</t>
        </is>
      </c>
      <c r="L9" t="inlineStr">
        <is>
          <t>18 months</t>
        </is>
      </c>
      <c r="M9" t="inlineStr">
        <is>
          <t>15 months</t>
        </is>
      </c>
      <c r="N9" t="inlineStr">
        <is>
          <t>ROS</t>
        </is>
      </c>
      <c r="O9" t="inlineStr">
        <is>
          <t>https://www.ros.ie</t>
        </is>
      </c>
      <c r="P9" t="inlineStr"/>
      <c r="Q9" s="4">
        <f>G9-90</f>
        <v/>
      </c>
      <c r="R9" s="4">
        <f>G9-60</f>
        <v/>
      </c>
      <c r="S9" s="4">
        <f>G9-30</f>
        <v/>
      </c>
      <c r="T9" s="4">
        <f>G9-14</f>
        <v/>
      </c>
      <c r="U9" t="inlineStr">
        <is>
          <t>Critical</t>
        </is>
      </c>
      <c r="V9" t="inlineStr">
        <is>
          <t>GIR Lead</t>
        </is>
      </c>
      <c r="W9" t="inlineStr">
        <is>
          <t>Pending</t>
        </is>
      </c>
      <c r="X9" t="inlineStr"/>
      <c r="Y9" t="inlineStr"/>
      <c r="Z9" t="inlineStr"/>
      <c r="AA9">
        <f>G9-TODAY()</f>
        <v/>
      </c>
      <c r="AB9">
        <f>IF(W9="Filed","Complete",IF(AA9&lt;0,"OVERDUE",IF(AA9&lt;=14,"URGENT",IF(AA9&lt;=30,"DUE SOON",IF(AA9&lt;=60,"APPROACHING","OK")))))</f>
        <v/>
      </c>
    </row>
    <row r="10">
      <c r="A10" t="inlineStr">
        <is>
          <t>SG-GIR-001</t>
        </is>
      </c>
      <c r="B10" t="inlineStr">
        <is>
          <t>Singapore</t>
        </is>
      </c>
      <c r="C10" t="inlineStr">
        <is>
          <t>SG</t>
        </is>
      </c>
      <c r="D10" t="inlineStr">
        <is>
          <t>GIR Filing</t>
        </is>
      </c>
      <c r="E10" t="inlineStr">
        <is>
          <t>SG GIR Filing (FY2024)</t>
        </is>
      </c>
      <c r="F10" t="inlineStr">
        <is>
          <t>File GIR via myTax Portal</t>
        </is>
      </c>
      <c r="G10" s="4" t="inlineStr">
        <is>
          <t>2026-06-30</t>
        </is>
      </c>
      <c r="H10" s="4" t="inlineStr">
        <is>
          <t>2026-06-30</t>
        </is>
      </c>
      <c r="I10" s="4" t="inlineStr">
        <is>
          <t>2026-09-30</t>
        </is>
      </c>
      <c r="J10" s="4" t="inlineStr">
        <is>
          <t>2026-12-31</t>
        </is>
      </c>
      <c r="K10" s="4" t="inlineStr">
        <is>
          <t>2027-03-31</t>
        </is>
      </c>
      <c r="L10" t="inlineStr">
        <is>
          <t>18 months</t>
        </is>
      </c>
      <c r="M10" t="inlineStr">
        <is>
          <t>15 months</t>
        </is>
      </c>
      <c r="N10" t="inlineStr">
        <is>
          <t>myTax Portal</t>
        </is>
      </c>
      <c r="O10" t="inlineStr">
        <is>
          <t>https://mytax.iras.gov.sg</t>
        </is>
      </c>
      <c r="P10" t="inlineStr"/>
      <c r="Q10" s="4">
        <f>G10-90</f>
        <v/>
      </c>
      <c r="R10" s="4">
        <f>G10-60</f>
        <v/>
      </c>
      <c r="S10" s="4">
        <f>G10-30</f>
        <v/>
      </c>
      <c r="T10" s="4">
        <f>G10-14</f>
        <v/>
      </c>
      <c r="U10" t="inlineStr">
        <is>
          <t>Critical</t>
        </is>
      </c>
      <c r="V10" t="inlineStr">
        <is>
          <t>GIR Lead</t>
        </is>
      </c>
      <c r="W10" t="inlineStr">
        <is>
          <t>Pending</t>
        </is>
      </c>
      <c r="X10" t="inlineStr"/>
      <c r="Y10" t="inlineStr"/>
      <c r="Z10" t="inlineStr"/>
      <c r="AA10">
        <f>G10-TODAY()</f>
        <v/>
      </c>
      <c r="AB10">
        <f>IF(W10="Filed","Complete",IF(AA10&lt;0,"OVERDUE",IF(AA10&lt;=14,"URGENT",IF(AA10&lt;=30,"DUE SOON",IF(AA10&lt;=60,"APPROACHING","OK")))))</f>
        <v/>
      </c>
    </row>
    <row r="11">
      <c r="A11" t="inlineStr">
        <is>
          <t>AU-GIR-001</t>
        </is>
      </c>
      <c r="B11" t="inlineStr">
        <is>
          <t>Australia</t>
        </is>
      </c>
      <c r="C11" t="inlineStr">
        <is>
          <t>AU</t>
        </is>
      </c>
      <c r="D11" t="inlineStr">
        <is>
          <t>GIR Filing</t>
        </is>
      </c>
      <c r="E11" t="inlineStr">
        <is>
          <t>AU GIR Filing (FY2024)</t>
        </is>
      </c>
      <c r="F11" t="inlineStr">
        <is>
          <t>File GIR with ATO</t>
        </is>
      </c>
      <c r="G11" s="4" t="inlineStr">
        <is>
          <t>2026-06-30</t>
        </is>
      </c>
      <c r="H11" s="4" t="inlineStr">
        <is>
          <t>2026-06-30</t>
        </is>
      </c>
      <c r="I11" s="4" t="inlineStr">
        <is>
          <t>2026-09-30</t>
        </is>
      </c>
      <c r="J11" s="4" t="inlineStr">
        <is>
          <t>2026-12-31</t>
        </is>
      </c>
      <c r="K11" s="4" t="inlineStr">
        <is>
          <t>2027-03-31</t>
        </is>
      </c>
      <c r="L11" t="inlineStr">
        <is>
          <t>18 months</t>
        </is>
      </c>
      <c r="M11" t="inlineStr">
        <is>
          <t>15 months</t>
        </is>
      </c>
      <c r="N11" t="inlineStr">
        <is>
          <t>ATO Portal</t>
        </is>
      </c>
      <c r="O11" t="inlineStr">
        <is>
          <t>https://www.ato.gov.au</t>
        </is>
      </c>
      <c r="P11" t="inlineStr"/>
      <c r="Q11" s="4">
        <f>G11-90</f>
        <v/>
      </c>
      <c r="R11" s="4">
        <f>G11-60</f>
        <v/>
      </c>
      <c r="S11" s="4">
        <f>G11-30</f>
        <v/>
      </c>
      <c r="T11" s="4">
        <f>G11-14</f>
        <v/>
      </c>
      <c r="U11" t="inlineStr">
        <is>
          <t>Critical</t>
        </is>
      </c>
      <c r="V11" t="inlineStr">
        <is>
          <t>GIR Lead</t>
        </is>
      </c>
      <c r="W11" t="inlineStr">
        <is>
          <t>Pending</t>
        </is>
      </c>
      <c r="X11" t="inlineStr"/>
      <c r="Y11" t="inlineStr"/>
      <c r="Z11" t="inlineStr"/>
      <c r="AA11">
        <f>G11-TODAY()</f>
        <v/>
      </c>
      <c r="AB11">
        <f>IF(W11="Filed","Complete",IF(AA11&lt;0,"OVERDUE",IF(AA11&lt;=14,"URGENT",IF(AA11&lt;=30,"DUE SOON",IF(AA11&lt;=60,"APPROACHING","OK")))))</f>
        <v/>
      </c>
    </row>
  </sheetData>
  <autoFilter ref="A1:AB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25" customWidth="1" min="3" max="3"/>
    <col width="30" customWidth="1" min="4" max="4"/>
  </cols>
  <sheetData>
    <row r="1">
      <c r="A1" s="5" t="inlineStr">
        <is>
          <t>iCAL EXPORT FORMAT</t>
        </is>
      </c>
    </row>
    <row r="3">
      <c r="A3" s="7" t="inlineStr">
        <is>
          <t>Field</t>
        </is>
      </c>
      <c r="B3" s="7" t="inlineStr">
        <is>
          <t>iCal Property</t>
        </is>
      </c>
      <c r="C3" s="7" t="inlineStr">
        <is>
          <t>Format</t>
        </is>
      </c>
      <c r="D3" s="7" t="inlineStr">
        <is>
          <t>Example</t>
        </is>
      </c>
    </row>
    <row r="4">
      <c r="A4" t="inlineStr">
        <is>
          <t>Event_ID</t>
        </is>
      </c>
      <c r="B4" t="inlineStr">
        <is>
          <t>UID</t>
        </is>
      </c>
      <c r="C4" t="inlineStr">
        <is>
          <t>event-id@globe-calendar</t>
        </is>
      </c>
      <c r="D4" t="inlineStr">
        <is>
          <t>GB-GIR-001@globe-calendar</t>
        </is>
      </c>
    </row>
    <row r="5">
      <c r="A5" t="inlineStr">
        <is>
          <t>Deadline_Date</t>
        </is>
      </c>
      <c r="B5" t="inlineStr">
        <is>
          <t>DTSTART</t>
        </is>
      </c>
      <c r="C5" t="inlineStr">
        <is>
          <t>YYYYMMDDTHHMMSS</t>
        </is>
      </c>
      <c r="D5" t="inlineStr">
        <is>
          <t>20260630T235959</t>
        </is>
      </c>
    </row>
    <row r="6">
      <c r="A6" t="inlineStr">
        <is>
          <t>Day After</t>
        </is>
      </c>
      <c r="B6" t="inlineStr">
        <is>
          <t>DTEND</t>
        </is>
      </c>
      <c r="C6" t="inlineStr">
        <is>
          <t>YYYYMMDDTHHMMSS</t>
        </is>
      </c>
      <c r="D6" t="inlineStr">
        <is>
          <t>20260701T000000</t>
        </is>
      </c>
    </row>
    <row r="7">
      <c r="A7" t="inlineStr">
        <is>
          <t>Event_Title</t>
        </is>
      </c>
      <c r="B7" t="inlineStr">
        <is>
          <t>SUMMARY</t>
        </is>
      </c>
      <c r="C7" t="inlineStr">
        <is>
          <t>Plain text</t>
        </is>
      </c>
      <c r="D7" t="inlineStr">
        <is>
          <t>UK GIR Filing Deadline</t>
        </is>
      </c>
    </row>
    <row r="8">
      <c r="A8" t="inlineStr">
        <is>
          <t>Event_Description</t>
        </is>
      </c>
      <c r="B8" t="inlineStr">
        <is>
          <t>DESCRIPTION</t>
        </is>
      </c>
      <c r="C8" t="inlineStr">
        <is>
          <t>Plain text</t>
        </is>
      </c>
      <c r="D8" t="inlineStr">
        <is>
          <t>File GIR with HMRC via API</t>
        </is>
      </c>
    </row>
    <row r="9">
      <c r="A9" t="inlineStr">
        <is>
          <t>Jurisdiction</t>
        </is>
      </c>
      <c r="B9" t="inlineStr">
        <is>
          <t>LOCATION</t>
        </is>
      </c>
      <c r="C9" t="inlineStr">
        <is>
          <t>Plain text</t>
        </is>
      </c>
      <c r="D9" t="inlineStr">
        <is>
          <t>United Kingdom</t>
        </is>
      </c>
    </row>
    <row r="10">
      <c r="A10" t="inlineStr">
        <is>
          <t>Obligation_Type</t>
        </is>
      </c>
      <c r="B10" t="inlineStr">
        <is>
          <t>CATEGORIES</t>
        </is>
      </c>
      <c r="C10" t="inlineStr">
        <is>
          <t>Plain text</t>
        </is>
      </c>
      <c r="D10" t="inlineStr">
        <is>
          <t>GloBE Compliance</t>
        </is>
      </c>
    </row>
    <row r="11">
      <c r="A11" t="inlineStr">
        <is>
          <t>60 days before</t>
        </is>
      </c>
      <c r="B11" t="inlineStr">
        <is>
          <t>TRIGGER (VALARM)</t>
        </is>
      </c>
      <c r="C11" t="inlineStr">
        <is>
          <t>-P60D</t>
        </is>
      </c>
      <c r="D11" t="inlineStr">
        <is>
          <t>-P60D</t>
        </is>
      </c>
    </row>
    <row r="14">
      <c r="A14" s="6" t="inlineStr">
        <is>
          <t>VCALENDAR TEMPLATE</t>
        </is>
      </c>
      <c r="C14" s="6" t="inlineStr">
        <is>
          <t>DATE CONVERSION FORMULA</t>
        </is>
      </c>
    </row>
    <row r="16">
      <c r="A16" s="9" t="inlineStr">
        <is>
          <t>BEGIN:VCALENDAR</t>
        </is>
      </c>
      <c r="C16" t="inlineStr">
        <is>
          <t>Excel Date to iCal:</t>
        </is>
      </c>
    </row>
    <row r="17">
      <c r="A17" s="9" t="inlineStr">
        <is>
          <t>VERSION:2.0</t>
        </is>
      </c>
      <c r="C17" s="10">
        <f>TEXT(G2,"YYYYMMDD")&amp;"T235959"</f>
        <v/>
      </c>
    </row>
    <row r="18">
      <c r="A18" s="9" t="inlineStr">
        <is>
          <t>PRODID:-//GloBE Deadline Calendar//Professional Practice//EN</t>
        </is>
      </c>
    </row>
    <row r="19">
      <c r="A19" s="9" t="inlineStr">
        <is>
          <t>CALSCALE:GREGORIAN</t>
        </is>
      </c>
      <c r="C19" t="inlineStr">
        <is>
          <t>Example (cell G2):</t>
        </is>
      </c>
      <c r="D19" t="inlineStr">
        <is>
          <t>2026-06-30</t>
        </is>
      </c>
    </row>
    <row r="20">
      <c r="A20" s="9" t="inlineStr">
        <is>
          <t>METHOD:PUBLISH</t>
        </is>
      </c>
      <c r="C20" t="inlineStr">
        <is>
          <t>iCal Output:</t>
        </is>
      </c>
      <c r="D20">
        <f>TEXT(D19,"YYYYMMDD")&amp;"T235959"</f>
        <v/>
      </c>
    </row>
    <row r="21">
      <c r="A21" s="9" t="inlineStr">
        <is>
          <t>X-WR-CALNAME:GloBE Filing Deadlines</t>
        </is>
      </c>
    </row>
    <row r="22">
      <c r="A22" s="9" t="inlineStr">
        <is>
          <t>BEGIN:VEVENT</t>
        </is>
      </c>
    </row>
    <row r="23">
      <c r="A23" s="9" t="inlineStr">
        <is>
          <t>UID:[Event_ID]@globe-calendar</t>
        </is>
      </c>
    </row>
    <row r="24">
      <c r="A24" s="9" t="inlineStr">
        <is>
          <t>DTSTART:[Deadline in YYYYMMDDTHHMMSS]</t>
        </is>
      </c>
    </row>
    <row r="25">
      <c r="A25" s="9" t="inlineStr">
        <is>
          <t>DTEND:[Day after deadline]</t>
        </is>
      </c>
    </row>
    <row r="26">
      <c r="A26" s="9" t="inlineStr">
        <is>
          <t>SUMMARY:[Event_Title]</t>
        </is>
      </c>
    </row>
    <row r="27">
      <c r="A27" s="9" t="inlineStr">
        <is>
          <t>DESCRIPTION:[Event_Description]</t>
        </is>
      </c>
    </row>
    <row r="28">
      <c r="A28" s="9" t="inlineStr">
        <is>
          <t>LOCATION:[Jurisdiction]</t>
        </is>
      </c>
    </row>
    <row r="29">
      <c r="A29" s="9" t="inlineStr">
        <is>
          <t>CATEGORIES:[Obligation_Type]</t>
        </is>
      </c>
    </row>
    <row r="30">
      <c r="A30" s="9" t="inlineStr">
        <is>
          <t>BEGIN:VALARM</t>
        </is>
      </c>
    </row>
    <row r="31">
      <c r="A31" s="9" t="inlineStr">
        <is>
          <t>TRIGGER:-P60D</t>
        </is>
      </c>
    </row>
    <row r="32">
      <c r="A32" s="9" t="inlineStr">
        <is>
          <t>ACTION:DISPLAY</t>
        </is>
      </c>
    </row>
    <row r="33">
      <c r="A33" s="9" t="inlineStr">
        <is>
          <t>DESCRIPTION:Reminder</t>
        </is>
      </c>
    </row>
    <row r="34">
      <c r="A34" s="9" t="inlineStr">
        <is>
          <t>END:VALARM</t>
        </is>
      </c>
    </row>
    <row r="35">
      <c r="A35" s="9" t="inlineStr">
        <is>
          <t>END:VEVENT</t>
        </is>
      </c>
    </row>
    <row r="36">
      <c r="A36" s="9" t="inlineStr">
        <is>
          <t>END:VCALENDAR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Obligation_Type</t>
        </is>
      </c>
      <c r="B1" s="3" t="inlineStr">
        <is>
          <t>Status</t>
        </is>
      </c>
      <c r="C1" s="3" t="inlineStr">
        <is>
          <t>Priority</t>
        </is>
      </c>
      <c r="D1" s="3" t="inlineStr">
        <is>
          <t>Country_Code</t>
        </is>
      </c>
    </row>
    <row r="2">
      <c r="A2" t="inlineStr">
        <is>
          <t>Registration</t>
        </is>
      </c>
      <c r="B2" t="inlineStr">
        <is>
          <t>Pending</t>
        </is>
      </c>
      <c r="C2" t="inlineStr">
        <is>
          <t>Critical</t>
        </is>
      </c>
      <c r="D2" t="inlineStr">
        <is>
          <t>GB</t>
        </is>
      </c>
    </row>
    <row r="3">
      <c r="A3" t="inlineStr">
        <is>
          <t>GIR Filing</t>
        </is>
      </c>
      <c r="B3" t="inlineStr">
        <is>
          <t>In Progress</t>
        </is>
      </c>
      <c r="C3" t="inlineStr">
        <is>
          <t>High</t>
        </is>
      </c>
      <c r="D3" t="inlineStr">
        <is>
          <t>DE</t>
        </is>
      </c>
    </row>
    <row r="4">
      <c r="A4" t="inlineStr">
        <is>
          <t>Local Return</t>
        </is>
      </c>
      <c r="B4" t="inlineStr">
        <is>
          <t>Filed</t>
        </is>
      </c>
      <c r="C4" t="inlineStr">
        <is>
          <t>Medium</t>
        </is>
      </c>
      <c r="D4" t="inlineStr">
        <is>
          <t>NL</t>
        </is>
      </c>
    </row>
    <row r="5">
      <c r="A5" t="inlineStr">
        <is>
          <t>Self Assessment</t>
        </is>
      </c>
      <c r="B5" t="inlineStr">
        <is>
          <t>Confirmed</t>
        </is>
      </c>
      <c r="C5" t="inlineStr">
        <is>
          <t>Low</t>
        </is>
      </c>
      <c r="D5" t="inlineStr">
        <is>
          <t>FR</t>
        </is>
      </c>
    </row>
    <row r="6">
      <c r="A6" t="inlineStr">
        <is>
          <t>Notification</t>
        </is>
      </c>
      <c r="B6" t="inlineStr">
        <is>
          <t>Overdue</t>
        </is>
      </c>
      <c r="D6" t="inlineStr">
        <is>
          <t>IE</t>
        </is>
      </c>
    </row>
    <row r="7">
      <c r="A7" t="inlineStr">
        <is>
          <t>Payment</t>
        </is>
      </c>
      <c r="D7" t="inlineStr">
        <is>
          <t>LU</t>
        </is>
      </c>
    </row>
    <row r="8">
      <c r="D8" t="inlineStr">
        <is>
          <t>SG</t>
        </is>
      </c>
    </row>
    <row r="9">
      <c r="D9" t="inlineStr">
        <is>
          <t>AU</t>
        </is>
      </c>
    </row>
    <row r="10">
      <c r="D10" t="inlineStr">
        <is>
          <t>JP</t>
        </is>
      </c>
    </row>
    <row r="11">
      <c r="D11" t="inlineStr">
        <is>
          <t>KR</t>
        </is>
      </c>
    </row>
    <row r="12">
      <c r="D12" t="inlineStr">
        <is>
          <t>CA</t>
        </is>
      </c>
    </row>
    <row r="13">
      <c r="D13" t="inlineStr">
        <is>
          <t>CH</t>
        </is>
      </c>
    </row>
    <row r="14">
      <c r="D14" t="inlineStr">
        <is>
          <t>BE</t>
        </is>
      </c>
    </row>
    <row r="15">
      <c r="D15" t="inlineStr">
        <is>
          <t>IT</t>
        </is>
      </c>
    </row>
    <row r="16">
      <c r="D16" t="inlineStr">
        <is>
          <t>ES</t>
        </is>
      </c>
    </row>
    <row r="17">
      <c r="D17" t="inlineStr">
        <is>
          <t>AT</t>
        </is>
      </c>
    </row>
    <row r="18">
      <c r="D18" t="inlineStr">
        <is>
          <t>SE</t>
        </is>
      </c>
    </row>
    <row r="19">
      <c r="D19" t="inlineStr">
        <is>
          <t>DK</t>
        </is>
      </c>
    </row>
    <row r="20">
      <c r="D20" t="inlineStr">
        <is>
          <t>NO</t>
        </is>
      </c>
    </row>
    <row r="21">
      <c r="D21" t="inlineStr">
        <is>
          <t>FI</t>
        </is>
      </c>
    </row>
    <row r="22">
      <c r="D22" t="inlineStr">
        <is>
          <t>NZ</t>
        </is>
      </c>
    </row>
    <row r="23">
      <c r="D23" t="inlineStr">
        <is>
          <t>HK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2025-12-02T14:26:50Z</dcterms:created>
  <dcterms:modified xsi:type="dcterms:W3CDTF">2025-12-02T14:26:50Z</dcterms:modified>
</cp:coreProperties>
</file>