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structions" sheetId="1" state="visible" r:id="rId1"/>
    <sheet name="2_Group_Summary" sheetId="2" state="visible" r:id="rId2"/>
    <sheet name="3_Jurisdiction_Detail" sheetId="3" state="visible" r:id="rId3"/>
    <sheet name="4_GloBE_Income_Recon" sheetId="4" state="visible" r:id="rId4"/>
    <sheet name="5_Covered_Taxes_Recon" sheetId="5" state="visible" r:id="rId5"/>
    <sheet name="6_ETR_Comparison" sheetId="6" state="visible" r:id="rId6"/>
    <sheet name="7_TopUp_Tax_Recon" sheetId="7" state="visible" r:id="rId7"/>
    <sheet name="8_Variance_Analysis" sheetId="8" state="visible" r:id="rId8"/>
    <sheet name="9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2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4" fillId="0" borderId="0" pivotButton="0" quotePrefix="0" xfId="0"/>
    <xf numFmtId="0" fontId="3" fillId="3" borderId="1" pivotButton="0" quotePrefix="0" xfId="0"/>
    <xf numFmtId="0" fontId="4" fillId="5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4" fillId="0" borderId="1" pivotButton="0" quotePrefix="0" xfId="0"/>
    <xf numFmtId="0" fontId="4" fillId="4" borderId="1" pivotButton="0" quotePrefix="0" xfId="0"/>
    <xf numFmtId="10" fontId="0" fillId="2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GIR-TO-TAX CALCULATION RECONCILIATION TOOL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tool provides a standardised framework for documenting alignment between GIR reporting</t>
        </is>
      </c>
    </row>
    <row r="5">
      <c r="A5" t="inlineStr">
        <is>
          <t>and Pillar Two tax calculations. It ensures consistency between:</t>
        </is>
      </c>
    </row>
    <row r="6">
      <c r="A6" t="inlineStr">
        <is>
          <t xml:space="preserve">  • GIR (GloBE Information Return) - Compliance reporting to tax authorities</t>
        </is>
      </c>
    </row>
    <row r="7">
      <c r="A7" t="inlineStr">
        <is>
          <t xml:space="preserve">  • Tax Provision (IAS 12/ASC 740) - Financial reporting for auditors and investors</t>
        </is>
      </c>
    </row>
    <row r="8">
      <c r="A8" t="inlineStr">
        <is>
          <t xml:space="preserve">  • Tax Returns - Tax liability settlement with tax authorities</t>
        </is>
      </c>
    </row>
    <row r="9">
      <c r="A9" t="inlineStr"/>
    </row>
    <row r="10">
      <c r="A10" s="2" t="inlineStr">
        <is>
          <t>WORKBOOK STRUCTURE</t>
        </is>
      </c>
    </row>
    <row r="11">
      <c r="A11" t="inlineStr">
        <is>
          <t>Tab 1: Instructions - How to use this tool</t>
        </is>
      </c>
    </row>
    <row r="12">
      <c r="A12" t="inlineStr">
        <is>
          <t>Tab 2: Group_Summary - High-level reconciliation of all GIR elements to tax provision</t>
        </is>
      </c>
    </row>
    <row r="13">
      <c r="A13" t="inlineStr">
        <is>
          <t>Tab 3: Jurisdiction_Detail - Per-jurisdiction reconciliation for each GloBE jurisdiction</t>
        </is>
      </c>
    </row>
    <row r="14">
      <c r="A14" t="inlineStr">
        <is>
          <t>Tab 4: GloBE_Income_Recon - Detailed GloBE Income reconciliation from FANIL</t>
        </is>
      </c>
    </row>
    <row r="15">
      <c r="A15" t="inlineStr">
        <is>
          <t>Tab 5: Covered_Taxes_Recon - Covered Taxes reconciliation to tax provision</t>
        </is>
      </c>
    </row>
    <row r="16">
      <c r="A16" t="inlineStr">
        <is>
          <t>Tab 6: ETR_Comparison - Jurisdictional ETR alignment verification</t>
        </is>
      </c>
    </row>
    <row r="17">
      <c r="A17" t="inlineStr">
        <is>
          <t>Tab 7: TopUp_Tax_Recon - Top-up Tax allocation reconciliation</t>
        </is>
      </c>
    </row>
    <row r="18">
      <c r="A18" t="inlineStr">
        <is>
          <t>Tab 8: Variance_Analysis - Exception reporting for material variances</t>
        </is>
      </c>
    </row>
    <row r="19">
      <c r="A19" t="inlineStr">
        <is>
          <t>Tab 9: Sign_Off - Approval documentation and certification</t>
        </is>
      </c>
    </row>
    <row r="20">
      <c r="A20" t="inlineStr"/>
    </row>
    <row r="21">
      <c r="A21" s="2" t="inlineStr">
        <is>
          <t>VARIANCE TOLERANCE FRAMEWORK</t>
        </is>
      </c>
    </row>
    <row r="22">
      <c r="A22" t="inlineStr">
        <is>
          <t>&lt;1%    - Document only, no action required</t>
        </is>
      </c>
    </row>
    <row r="23">
      <c r="A23" t="inlineStr">
        <is>
          <t>1-5%   - Investigate and document explanation</t>
        </is>
      </c>
    </row>
    <row r="24">
      <c r="A24" t="inlineStr">
        <is>
          <t>5-10%  - Senior review and formal memo required</t>
        </is>
      </c>
    </row>
    <row r="25">
      <c r="A25" t="inlineStr">
        <is>
          <t>&gt;10%   - Escalate, potential restatement consideration</t>
        </is>
      </c>
    </row>
    <row r="26">
      <c r="A26" t="inlineStr"/>
    </row>
    <row r="27">
      <c r="A27" s="2" t="inlineStr">
        <is>
          <t>VARIANCE CATEGORY CODES</t>
        </is>
      </c>
    </row>
    <row r="28">
      <c r="A28" t="inlineStr">
        <is>
          <t>T - Timing: Different recognition period</t>
        </is>
      </c>
    </row>
    <row r="29">
      <c r="A29" t="inlineStr">
        <is>
          <t>B - Basis: Different calculation methodology</t>
        </is>
      </c>
    </row>
    <row r="30">
      <c r="A30" t="inlineStr">
        <is>
          <t>E - Election: Different election applied</t>
        </is>
      </c>
    </row>
    <row r="31">
      <c r="A31" t="inlineStr">
        <is>
          <t>R - Rounding: Immaterial rounding difference</t>
        </is>
      </c>
    </row>
    <row r="32">
      <c r="A32" t="inlineStr">
        <is>
          <t>S - Source: Different data source used</t>
        </is>
      </c>
    </row>
    <row r="33">
      <c r="A33" t="inlineStr">
        <is>
          <t>X - Error: Requires correction</t>
        </is>
      </c>
    </row>
    <row r="34">
      <c r="A34" t="inlineStr"/>
    </row>
    <row r="35">
      <c r="A35" s="2" t="inlineStr">
        <is>
          <t>COLOUR CODING</t>
        </is>
      </c>
    </row>
    <row r="36">
      <c r="A36" t="inlineStr">
        <is>
          <t>Yellow cells  - Input cells (enter your data here)</t>
        </is>
      </c>
    </row>
    <row r="37">
      <c r="A37" t="inlineStr">
        <is>
          <t>Green cells   - Formula cells (auto-calculated)</t>
        </is>
      </c>
    </row>
    <row r="38">
      <c r="A38" t="inlineStr">
        <is>
          <t>Orange cells  - Warning (variance 5-10%)</t>
        </is>
      </c>
    </row>
    <row r="39">
      <c r="A39" t="inlineStr">
        <is>
          <t>Red cells     - Error (variance &gt;10%)</t>
        </is>
      </c>
    </row>
    <row r="40">
      <c r="A40" t="inlineStr"/>
    </row>
    <row r="41">
      <c r="A41" s="2" t="inlineStr">
        <is>
          <t>INSTRUCTIONS FOR USE</t>
        </is>
      </c>
    </row>
    <row r="42">
      <c r="A42" t="inlineStr">
        <is>
          <t>1. Complete Tab 2 (Group_Summary) with high-level figures from GIR and tax provision</t>
        </is>
      </c>
    </row>
    <row r="43">
      <c r="A43" t="inlineStr">
        <is>
          <t>2. Complete Tab 3 (Jurisdiction_Detail) for each jurisdiction with GloBE presence</t>
        </is>
      </c>
    </row>
    <row r="44">
      <c r="A44" t="inlineStr">
        <is>
          <t>3. Use Tabs 4-7 for detailed reconciliation where variances exist</t>
        </is>
      </c>
    </row>
    <row r="45">
      <c r="A45" t="inlineStr">
        <is>
          <t>4. Document all variances &gt;1% in Tab 8 (Variance_Analysis)</t>
        </is>
      </c>
    </row>
    <row r="46">
      <c r="A46" t="inlineStr">
        <is>
          <t>5. Obtain sign-offs in Tab 9 before GIR submission</t>
        </is>
      </c>
    </row>
    <row r="47">
      <c r="A47" t="inlineStr"/>
    </row>
    <row r="48">
      <c r="A48" s="2" t="inlineStr">
        <is>
          <t>KEY RECONCILIATION POINTS</t>
        </is>
      </c>
    </row>
    <row r="49">
      <c r="A49" t="inlineStr">
        <is>
          <t>• GloBE Income (GIR) should reconcile to adjusted Group PBT</t>
        </is>
      </c>
    </row>
    <row r="50">
      <c r="A50" t="inlineStr">
        <is>
          <t>• Covered Taxes (GIR) should reconcile to tax expense with adjustments</t>
        </is>
      </c>
    </row>
    <row r="51">
      <c r="A51" t="inlineStr">
        <is>
          <t>• ETR by jurisdiction should match between GIR and provision</t>
        </is>
      </c>
    </row>
    <row r="52">
      <c r="A52" t="inlineStr">
        <is>
          <t>• Top-up Tax should exactly match additional tax expense</t>
        </is>
      </c>
    </row>
    <row r="53">
      <c r="A53" t="inlineStr">
        <is>
          <t>• QDMTT offset should exactly match tax credit/offset</t>
        </is>
      </c>
    </row>
    <row r="54">
      <c r="A54" t="inlineStr"/>
    </row>
    <row r="55">
      <c r="A55" s="2" t="inlineStr">
        <is>
          <t>OECD REFERENCE</t>
        </is>
      </c>
    </row>
    <row r="56">
      <c r="A56" t="inlineStr">
        <is>
          <t>This tool aligns with OECD GloBE Rules and Administrative Guidance requirements</t>
        </is>
      </c>
    </row>
    <row r="57">
      <c r="A57" t="inlineStr">
        <is>
          <t>for data consistency between GIR reporting and underlying tax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GIR-TO-TAX PROVISION RECONCILIATION SUMMARY</t>
        </is>
      </c>
    </row>
    <row r="3">
      <c r="A3" t="inlineStr">
        <is>
          <t>MNE Group Name:</t>
        </is>
      </c>
      <c r="B3" s="3" t="n"/>
    </row>
    <row r="4">
      <c r="A4" t="inlineStr">
        <is>
          <t>Fiscal Year End:</t>
        </is>
      </c>
      <c r="B4" s="3" t="n"/>
    </row>
    <row r="5">
      <c r="A5" t="inlineStr">
        <is>
          <t>Reporting Currency:</t>
        </is>
      </c>
      <c r="B5" s="3" t="n"/>
    </row>
    <row r="6">
      <c r="A6" t="inlineStr">
        <is>
          <t>Prepared Date:</t>
        </is>
      </c>
      <c r="B6" s="3" t="n"/>
    </row>
    <row r="8">
      <c r="A8" s="4" t="inlineStr">
        <is>
          <t>Reference</t>
        </is>
      </c>
      <c r="B8" s="4" t="inlineStr">
        <is>
          <t>Description</t>
        </is>
      </c>
      <c r="C8" s="4" t="inlineStr">
        <is>
          <t>GIR Amount (€)</t>
        </is>
      </c>
      <c r="D8" s="4" t="inlineStr">
        <is>
          <t>Tax Provision (€)</t>
        </is>
      </c>
      <c r="E8" s="4" t="inlineStr">
        <is>
          <t>Variance (€)</t>
        </is>
      </c>
      <c r="F8" s="4" t="inlineStr">
        <is>
          <t>Variance %</t>
        </is>
      </c>
    </row>
    <row r="9">
      <c r="A9" s="5" t="inlineStr">
        <is>
          <t>A. GloBE Income</t>
        </is>
      </c>
      <c r="B9" s="5" t="inlineStr"/>
      <c r="C9" s="6" t="inlineStr"/>
      <c r="D9" s="6" t="inlineStr"/>
      <c r="E9" s="7">
        <f>C9-D9</f>
        <v/>
      </c>
      <c r="F9" s="8">
        <f>IF(D9&lt;&gt;0,E9/ABS(D9),"")</f>
        <v/>
      </c>
    </row>
    <row r="10">
      <c r="A10" s="5" t="inlineStr">
        <is>
          <t>A.1</t>
        </is>
      </c>
      <c r="B10" s="5" t="inlineStr">
        <is>
          <t>Total GloBE Income</t>
        </is>
      </c>
      <c r="C10" s="6" t="inlineStr"/>
      <c r="D10" s="6" t="inlineStr"/>
      <c r="E10" s="7">
        <f>C10-D10</f>
        <v/>
      </c>
      <c r="F10" s="8">
        <f>IF(D10&lt;&gt;0,E10/ABS(D10),"")</f>
        <v/>
      </c>
    </row>
    <row r="11">
      <c r="A11" s="5" t="inlineStr">
        <is>
          <t>A.2</t>
        </is>
      </c>
      <c r="B11" s="5" t="inlineStr">
        <is>
          <t>Total GloBE Loss</t>
        </is>
      </c>
      <c r="C11" s="6" t="inlineStr"/>
      <c r="D11" s="6" t="inlineStr"/>
      <c r="E11" s="7">
        <f>C11-D11</f>
        <v/>
      </c>
      <c r="F11" s="8">
        <f>IF(D11&lt;&gt;0,E11/ABS(D11),"")</f>
        <v/>
      </c>
    </row>
    <row r="12">
      <c r="A12" s="5" t="inlineStr">
        <is>
          <t>A.3</t>
        </is>
      </c>
      <c r="B12" s="5" t="inlineStr">
        <is>
          <t>Net GloBE Income</t>
        </is>
      </c>
      <c r="C12" s="6" t="inlineStr"/>
      <c r="D12" s="6" t="inlineStr"/>
      <c r="E12" s="7">
        <f>C12-D12</f>
        <v/>
      </c>
      <c r="F12" s="8">
        <f>IF(D12&lt;&gt;0,E12/ABS(D12),"")</f>
        <v/>
      </c>
    </row>
    <row r="13">
      <c r="A13" s="5" t="inlineStr">
        <is>
          <t>B. Covered Taxes</t>
        </is>
      </c>
      <c r="B13" s="5" t="inlineStr"/>
      <c r="C13" s="6" t="inlineStr"/>
      <c r="D13" s="6" t="inlineStr"/>
      <c r="E13" s="7">
        <f>C13-D13</f>
        <v/>
      </c>
      <c r="F13" s="8">
        <f>IF(D13&lt;&gt;0,E13/ABS(D13),"")</f>
        <v/>
      </c>
    </row>
    <row r="14">
      <c r="A14" s="5" t="inlineStr">
        <is>
          <t>B.1</t>
        </is>
      </c>
      <c r="B14" s="5" t="inlineStr">
        <is>
          <t>Current tax component</t>
        </is>
      </c>
      <c r="C14" s="6" t="inlineStr"/>
      <c r="D14" s="6" t="inlineStr"/>
      <c r="E14" s="7">
        <f>C14-D14</f>
        <v/>
      </c>
      <c r="F14" s="8">
        <f>IF(D14&lt;&gt;0,E14/ABS(D14),"")</f>
        <v/>
      </c>
    </row>
    <row r="15">
      <c r="A15" s="5" t="inlineStr">
        <is>
          <t>B.2</t>
        </is>
      </c>
      <c r="B15" s="5" t="inlineStr">
        <is>
          <t>Deferred tax component</t>
        </is>
      </c>
      <c r="C15" s="6" t="inlineStr"/>
      <c r="D15" s="6" t="inlineStr"/>
      <c r="E15" s="7">
        <f>C15-D15</f>
        <v/>
      </c>
      <c r="F15" s="8">
        <f>IF(D15&lt;&gt;0,E15/ABS(D15),"")</f>
        <v/>
      </c>
    </row>
    <row r="16">
      <c r="A16" s="5" t="inlineStr">
        <is>
          <t>B.3</t>
        </is>
      </c>
      <c r="B16" s="5" t="inlineStr">
        <is>
          <t>Total Adjusted Covered Taxes</t>
        </is>
      </c>
      <c r="C16" s="6" t="inlineStr"/>
      <c r="D16" s="6" t="inlineStr"/>
      <c r="E16" s="7">
        <f>C16-D16</f>
        <v/>
      </c>
      <c r="F16" s="8">
        <f>IF(D16&lt;&gt;0,E16/ABS(D16),"")</f>
        <v/>
      </c>
    </row>
    <row r="17">
      <c r="A17" s="5" t="inlineStr">
        <is>
          <t>C. Aggregate ETR</t>
        </is>
      </c>
      <c r="B17" s="5" t="inlineStr"/>
      <c r="C17" s="6" t="inlineStr"/>
      <c r="D17" s="6" t="inlineStr"/>
      <c r="E17" s="7">
        <f>C17-D17</f>
        <v/>
      </c>
      <c r="F17" s="8">
        <f>IF(D17&lt;&gt;0,E17/ABS(D17),"")</f>
        <v/>
      </c>
    </row>
    <row r="18">
      <c r="A18" s="5" t="inlineStr">
        <is>
          <t>C.1</t>
        </is>
      </c>
      <c r="B18" s="5" t="inlineStr">
        <is>
          <t>Weighted average ETR</t>
        </is>
      </c>
      <c r="C18" s="6" t="inlineStr"/>
      <c r="D18" s="6" t="inlineStr"/>
      <c r="E18" s="7">
        <f>C18-D18</f>
        <v/>
      </c>
      <c r="F18" s="8">
        <f>IF(D18&lt;&gt;0,E18/ABS(D18),"")</f>
        <v/>
      </c>
    </row>
    <row r="19">
      <c r="A19" s="5" t="inlineStr">
        <is>
          <t>D. Top-up Tax</t>
        </is>
      </c>
      <c r="B19" s="5" t="inlineStr"/>
      <c r="C19" s="6" t="inlineStr"/>
      <c r="D19" s="6" t="inlineStr"/>
      <c r="E19" s="7">
        <f>C19-D19</f>
        <v/>
      </c>
      <c r="F19" s="8">
        <f>IF(D19&lt;&gt;0,E19/ABS(D19),"")</f>
        <v/>
      </c>
    </row>
    <row r="20">
      <c r="A20" s="5" t="inlineStr">
        <is>
          <t>D.1</t>
        </is>
      </c>
      <c r="B20" s="5" t="inlineStr">
        <is>
          <t>Gross Top-up Tax</t>
        </is>
      </c>
      <c r="C20" s="6" t="inlineStr"/>
      <c r="D20" s="6" t="inlineStr"/>
      <c r="E20" s="7">
        <f>C20-D20</f>
        <v/>
      </c>
      <c r="F20" s="8">
        <f>IF(D20&lt;&gt;0,E20/ABS(D20),"")</f>
        <v/>
      </c>
    </row>
    <row r="21">
      <c r="A21" s="5" t="inlineStr">
        <is>
          <t>D.2</t>
        </is>
      </c>
      <c r="B21" s="5" t="inlineStr">
        <is>
          <t>Less: QDMTT offset</t>
        </is>
      </c>
      <c r="C21" s="6" t="inlineStr"/>
      <c r="D21" s="6" t="inlineStr"/>
      <c r="E21" s="7">
        <f>C21-D21</f>
        <v/>
      </c>
      <c r="F21" s="8">
        <f>IF(D21&lt;&gt;0,E21/ABS(D21),"")</f>
        <v/>
      </c>
    </row>
    <row r="22">
      <c r="A22" s="5" t="inlineStr">
        <is>
          <t>D.3</t>
        </is>
      </c>
      <c r="B22" s="5" t="inlineStr">
        <is>
          <t>Net Top-up Tax</t>
        </is>
      </c>
      <c r="C22" s="6" t="inlineStr"/>
      <c r="D22" s="6" t="inlineStr"/>
      <c r="E22" s="7">
        <f>C22-D22</f>
        <v/>
      </c>
      <c r="F22" s="8">
        <f>IF(D22&lt;&gt;0,E22/ABS(D22),"")</f>
        <v/>
      </c>
    </row>
    <row r="24">
      <c r="A24" s="9" t="inlineStr">
        <is>
          <t>E. Reconciliation Status</t>
        </is>
      </c>
    </row>
    <row r="25">
      <c r="A25" t="inlineStr">
        <is>
          <t>E.1</t>
        </is>
      </c>
      <c r="B25" t="inlineStr">
        <is>
          <t>All variances within tolerance?</t>
        </is>
      </c>
      <c r="C25" s="3" t="n"/>
    </row>
    <row r="26">
      <c r="A26" t="inlineStr">
        <is>
          <t>E.2</t>
        </is>
      </c>
      <c r="B26" t="inlineStr">
        <is>
          <t>All variances documented?</t>
        </is>
      </c>
      <c r="C26" s="3" t="n"/>
    </row>
    <row r="27">
      <c r="A27" t="inlineStr">
        <is>
          <t>E.3</t>
        </is>
      </c>
      <c r="B27" t="inlineStr">
        <is>
          <t>Sign-off obtained?</t>
        </is>
      </c>
      <c r="C27" s="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2" customWidth="1" min="5" max="5"/>
    <col width="40" customWidth="1" min="6" max="6"/>
  </cols>
  <sheetData>
    <row r="1">
      <c r="A1" s="1" t="inlineStr">
        <is>
          <t>PER-JURISDICTION RECONCILIATION</t>
        </is>
      </c>
    </row>
    <row r="3">
      <c r="A3" t="inlineStr">
        <is>
          <t>Jurisdiction:</t>
        </is>
      </c>
      <c r="B3" s="3" t="n"/>
      <c r="D3" t="inlineStr">
        <is>
          <t>Code:</t>
        </is>
      </c>
      <c r="E3" s="3" t="n"/>
    </row>
    <row r="5">
      <c r="A5" s="10" t="inlineStr">
        <is>
          <t>Line</t>
        </is>
      </c>
      <c r="B5" s="10" t="inlineStr">
        <is>
          <t>Element</t>
        </is>
      </c>
      <c r="C5" s="10" t="inlineStr">
        <is>
          <t>GIR</t>
        </is>
      </c>
      <c r="D5" s="10" t="inlineStr">
        <is>
          <t>Tax Calc</t>
        </is>
      </c>
      <c r="E5" s="10" t="inlineStr">
        <is>
          <t>Variance</t>
        </is>
      </c>
      <c r="F5" s="10" t="inlineStr">
        <is>
          <t>Explanation</t>
        </is>
      </c>
    </row>
    <row r="6">
      <c r="A6" s="11" t="inlineStr"/>
      <c r="B6" s="11" t="inlineStr">
        <is>
          <t>GloBE Income</t>
        </is>
      </c>
      <c r="C6" s="11" t="inlineStr"/>
      <c r="D6" s="11" t="inlineStr"/>
      <c r="E6" s="11" t="inlineStr"/>
      <c r="F6" s="11" t="inlineStr"/>
    </row>
    <row r="7">
      <c r="A7" s="5" t="inlineStr">
        <is>
          <t>1</t>
        </is>
      </c>
      <c r="B7" s="5" t="inlineStr">
        <is>
          <t>Revenue</t>
        </is>
      </c>
      <c r="C7" s="12" t="inlineStr"/>
      <c r="D7" s="12" t="inlineStr"/>
      <c r="E7" s="13">
        <f>C7-D7</f>
        <v/>
      </c>
      <c r="F7" s="12" t="inlineStr"/>
    </row>
    <row r="8">
      <c r="A8" s="5" t="inlineStr">
        <is>
          <t>2</t>
        </is>
      </c>
      <c r="B8" s="5" t="inlineStr">
        <is>
          <t>GloBE Income/(Loss)</t>
        </is>
      </c>
      <c r="C8" s="12" t="inlineStr"/>
      <c r="D8" s="12" t="inlineStr"/>
      <c r="E8" s="13">
        <f>C8-D8</f>
        <v/>
      </c>
      <c r="F8" s="12" t="inlineStr"/>
    </row>
    <row r="9">
      <c r="A9" s="11" t="inlineStr"/>
      <c r="B9" s="11" t="inlineStr">
        <is>
          <t>Covered Taxes</t>
        </is>
      </c>
      <c r="C9" s="11" t="inlineStr"/>
      <c r="D9" s="11" t="inlineStr"/>
      <c r="E9" s="11" t="inlineStr"/>
      <c r="F9" s="11" t="inlineStr"/>
    </row>
    <row r="10">
      <c r="A10" s="5" t="inlineStr">
        <is>
          <t>3</t>
        </is>
      </c>
      <c r="B10" s="5" t="inlineStr">
        <is>
          <t>Current tax</t>
        </is>
      </c>
      <c r="C10" s="12" t="inlineStr"/>
      <c r="D10" s="12" t="inlineStr"/>
      <c r="E10" s="13">
        <f>C10-D10</f>
        <v/>
      </c>
      <c r="F10" s="12" t="inlineStr"/>
    </row>
    <row r="11">
      <c r="A11" s="5" t="inlineStr">
        <is>
          <t>4</t>
        </is>
      </c>
      <c r="B11" s="5" t="inlineStr">
        <is>
          <t>Deferred tax</t>
        </is>
      </c>
      <c r="C11" s="12" t="inlineStr"/>
      <c r="D11" s="12" t="inlineStr"/>
      <c r="E11" s="13">
        <f>C11-D11</f>
        <v/>
      </c>
      <c r="F11" s="12" t="inlineStr"/>
    </row>
    <row r="12">
      <c r="A12" s="5" t="inlineStr">
        <is>
          <t>5</t>
        </is>
      </c>
      <c r="B12" s="5" t="inlineStr">
        <is>
          <t>Adjusted Covered Taxes</t>
        </is>
      </c>
      <c r="C12" s="12" t="inlineStr"/>
      <c r="D12" s="12" t="inlineStr"/>
      <c r="E12" s="13">
        <f>C12-D12</f>
        <v/>
      </c>
      <c r="F12" s="12" t="inlineStr"/>
    </row>
    <row r="13">
      <c r="A13" s="11" t="inlineStr"/>
      <c r="B13" s="11" t="inlineStr">
        <is>
          <t>ETR</t>
        </is>
      </c>
      <c r="C13" s="11" t="inlineStr"/>
      <c r="D13" s="11" t="inlineStr"/>
      <c r="E13" s="11" t="inlineStr"/>
      <c r="F13" s="11" t="inlineStr"/>
    </row>
    <row r="14">
      <c r="A14" s="5" t="inlineStr">
        <is>
          <t>6</t>
        </is>
      </c>
      <c r="B14" s="5" t="inlineStr">
        <is>
          <t>ETR (Line 5 ÷ Line 2)</t>
        </is>
      </c>
      <c r="C14" s="12" t="inlineStr"/>
      <c r="D14" s="12" t="inlineStr"/>
      <c r="E14" s="13">
        <f>C14-D14</f>
        <v/>
      </c>
      <c r="F14" s="12" t="inlineStr"/>
    </row>
    <row r="15">
      <c r="A15" s="11" t="inlineStr"/>
      <c r="B15" s="11" t="inlineStr">
        <is>
          <t>SBIE</t>
        </is>
      </c>
      <c r="C15" s="11" t="inlineStr"/>
      <c r="D15" s="11" t="inlineStr"/>
      <c r="E15" s="11" t="inlineStr"/>
      <c r="F15" s="11" t="inlineStr"/>
    </row>
    <row r="16">
      <c r="A16" s="5" t="inlineStr">
        <is>
          <t>7</t>
        </is>
      </c>
      <c r="B16" s="5" t="inlineStr">
        <is>
          <t>Payroll carve-out</t>
        </is>
      </c>
      <c r="C16" s="12" t="inlineStr"/>
      <c r="D16" s="12" t="inlineStr"/>
      <c r="E16" s="13">
        <f>C16-D16</f>
        <v/>
      </c>
      <c r="F16" s="12" t="inlineStr"/>
    </row>
    <row r="17">
      <c r="A17" s="5" t="inlineStr">
        <is>
          <t>8</t>
        </is>
      </c>
      <c r="B17" s="5" t="inlineStr">
        <is>
          <t>Asset carve-out</t>
        </is>
      </c>
      <c r="C17" s="12" t="inlineStr"/>
      <c r="D17" s="12" t="inlineStr"/>
      <c r="E17" s="13">
        <f>C17-D17</f>
        <v/>
      </c>
      <c r="F17" s="12" t="inlineStr"/>
    </row>
    <row r="18">
      <c r="A18" s="5" t="inlineStr">
        <is>
          <t>9</t>
        </is>
      </c>
      <c r="B18" s="5" t="inlineStr">
        <is>
          <t>Total SBIE</t>
        </is>
      </c>
      <c r="C18" s="12" t="inlineStr"/>
      <c r="D18" s="12" t="inlineStr"/>
      <c r="E18" s="13">
        <f>C18-D18</f>
        <v/>
      </c>
      <c r="F18" s="12" t="inlineStr"/>
    </row>
    <row r="19">
      <c r="A19" s="11" t="inlineStr"/>
      <c r="B19" s="11" t="inlineStr">
        <is>
          <t>Top-up Tax</t>
        </is>
      </c>
      <c r="C19" s="11" t="inlineStr"/>
      <c r="D19" s="11" t="inlineStr"/>
      <c r="E19" s="11" t="inlineStr"/>
      <c r="F19" s="11" t="inlineStr"/>
    </row>
    <row r="20">
      <c r="A20" s="5" t="inlineStr">
        <is>
          <t>10</t>
        </is>
      </c>
      <c r="B20" s="5" t="inlineStr">
        <is>
          <t>Excess Profit</t>
        </is>
      </c>
      <c r="C20" s="12" t="inlineStr"/>
      <c r="D20" s="12" t="inlineStr"/>
      <c r="E20" s="13">
        <f>C20-D20</f>
        <v/>
      </c>
      <c r="F20" s="12" t="inlineStr"/>
    </row>
    <row r="21">
      <c r="A21" s="5" t="inlineStr">
        <is>
          <t>11</t>
        </is>
      </c>
      <c r="B21" s="5" t="inlineStr">
        <is>
          <t>Top-up Tax %</t>
        </is>
      </c>
      <c r="C21" s="12" t="inlineStr"/>
      <c r="D21" s="12" t="inlineStr"/>
      <c r="E21" s="13">
        <f>C21-D21</f>
        <v/>
      </c>
      <c r="F21" s="12" t="inlineStr"/>
    </row>
    <row r="22">
      <c r="A22" s="5" t="inlineStr">
        <is>
          <t>12</t>
        </is>
      </c>
      <c r="B22" s="5" t="inlineStr">
        <is>
          <t>Jurisdictional Top-up Tax</t>
        </is>
      </c>
      <c r="C22" s="12" t="inlineStr"/>
      <c r="D22" s="12" t="inlineStr"/>
      <c r="E22" s="13">
        <f>C22-D22</f>
        <v/>
      </c>
      <c r="F22" s="12" t="inlineStr"/>
    </row>
    <row r="23">
      <c r="A23" s="5" t="inlineStr">
        <is>
          <t>13</t>
        </is>
      </c>
      <c r="B23" s="5" t="inlineStr">
        <is>
          <t>QDMTT offset</t>
        </is>
      </c>
      <c r="C23" s="12" t="inlineStr"/>
      <c r="D23" s="12" t="inlineStr"/>
      <c r="E23" s="13">
        <f>C23-D23</f>
        <v/>
      </c>
      <c r="F23" s="12" t="inlineStr"/>
    </row>
    <row r="24">
      <c r="A24" s="5" t="inlineStr">
        <is>
          <t>14</t>
        </is>
      </c>
      <c r="B24" s="5" t="inlineStr">
        <is>
          <t>Net Top-up Tax</t>
        </is>
      </c>
      <c r="C24" s="12" t="inlineStr"/>
      <c r="D24" s="12" t="inlineStr"/>
      <c r="E24" s="13">
        <f>C24-D24</f>
        <v/>
      </c>
      <c r="F24" s="12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25" customWidth="1" min="4" max="4"/>
    <col width="12" customWidth="1" min="5" max="5"/>
  </cols>
  <sheetData>
    <row r="1">
      <c r="A1" s="1" t="inlineStr">
        <is>
          <t>GloBE INCOME RECONCILIATION</t>
        </is>
      </c>
    </row>
    <row r="3">
      <c r="A3" t="inlineStr">
        <is>
          <t>This tab reconciles GIR GloBE Income to financial statement profit before tax</t>
        </is>
      </c>
    </row>
    <row r="5">
      <c r="A5" s="10" t="inlineStr">
        <is>
          <t>Ref</t>
        </is>
      </c>
      <c r="B5" s="10" t="inlineStr">
        <is>
          <t>Description</t>
        </is>
      </c>
      <c r="C5" s="10" t="inlineStr">
        <is>
          <t>Amount (€)</t>
        </is>
      </c>
      <c r="D5" s="10" t="inlineStr">
        <is>
          <t>Notes</t>
        </is>
      </c>
      <c r="E5" s="10" t="inlineStr">
        <is>
          <t>Article Ref</t>
        </is>
      </c>
    </row>
    <row r="6">
      <c r="A6" s="5" t="inlineStr">
        <is>
          <t>1</t>
        </is>
      </c>
      <c r="B6" s="5" t="inlineStr">
        <is>
          <t>Group PBT per Financial Statements</t>
        </is>
      </c>
      <c r="C6" s="6" t="inlineStr"/>
      <c r="D6" s="5" t="inlineStr">
        <is>
          <t>Starting point</t>
        </is>
      </c>
      <c r="E6" s="5" t="inlineStr"/>
    </row>
    <row r="7">
      <c r="A7" s="5" t="inlineStr">
        <is>
          <t>2</t>
        </is>
      </c>
      <c r="B7" s="5" t="inlineStr">
        <is>
          <t>Less: Non-GloBE jurisdictions</t>
        </is>
      </c>
      <c r="C7" s="6" t="inlineStr"/>
      <c r="D7" s="5" t="inlineStr"/>
      <c r="E7" s="5" t="inlineStr"/>
    </row>
    <row r="8">
      <c r="A8" s="5" t="inlineStr">
        <is>
          <t>3</t>
        </is>
      </c>
      <c r="B8" s="5" t="inlineStr">
        <is>
          <t>Less: Excluded entities (Investment, REIT, etc.)</t>
        </is>
      </c>
      <c r="C8" s="6" t="inlineStr"/>
      <c r="D8" s="5" t="inlineStr"/>
      <c r="E8" s="5" t="inlineStr">
        <is>
          <t>Art 1.5</t>
        </is>
      </c>
    </row>
    <row r="9">
      <c r="A9" s="5" t="inlineStr">
        <is>
          <t>4</t>
        </is>
      </c>
      <c r="B9" s="5" t="inlineStr">
        <is>
          <t>Sub-total: In-scope PBT</t>
        </is>
      </c>
      <c r="C9" s="6" t="inlineStr"/>
      <c r="D9" s="5">
        <f>C6-C7-C8</f>
        <v/>
      </c>
      <c r="E9" s="5" t="inlineStr"/>
    </row>
    <row r="10">
      <c r="A10" s="14" t="inlineStr"/>
      <c r="B10" s="14" t="inlineStr">
        <is>
          <t>Adjustments to arrive at GloBE Income:</t>
        </is>
      </c>
      <c r="C10" s="14" t="inlineStr"/>
      <c r="D10" s="14" t="inlineStr"/>
      <c r="E10" s="14" t="inlineStr">
        <is>
          <t>Art 3.2</t>
        </is>
      </c>
    </row>
    <row r="11">
      <c r="A11" s="5" t="inlineStr">
        <is>
          <t>5</t>
        </is>
      </c>
      <c r="B11" s="5" t="inlineStr">
        <is>
          <t>Add back: Net tax expense</t>
        </is>
      </c>
      <c r="C11" s="6" t="inlineStr"/>
      <c r="D11" s="5" t="inlineStr">
        <is>
          <t>Tax expense reversal</t>
        </is>
      </c>
      <c r="E11" s="5" t="inlineStr">
        <is>
          <t>Art 3.2.1(a)</t>
        </is>
      </c>
    </row>
    <row r="12">
      <c r="A12" s="5" t="inlineStr">
        <is>
          <t>6</t>
        </is>
      </c>
      <c r="B12" s="5" t="inlineStr">
        <is>
          <t>Less: Excluded dividends</t>
        </is>
      </c>
      <c r="C12" s="6" t="inlineStr"/>
      <c r="D12" s="5" t="inlineStr">
        <is>
          <t>Qualifying dividends</t>
        </is>
      </c>
      <c r="E12" s="5" t="inlineStr">
        <is>
          <t>Art 3.2.1(b)</t>
        </is>
      </c>
    </row>
    <row r="13">
      <c r="A13" s="5" t="inlineStr">
        <is>
          <t>7</t>
        </is>
      </c>
      <c r="B13" s="5" t="inlineStr">
        <is>
          <t>Less: Excluded equity gains/losses</t>
        </is>
      </c>
      <c r="C13" s="6" t="inlineStr"/>
      <c r="D13" s="5" t="inlineStr">
        <is>
          <t>Qualifying equity</t>
        </is>
      </c>
      <c r="E13" s="5" t="inlineStr">
        <is>
          <t>Art 3.2.1(c)</t>
        </is>
      </c>
    </row>
    <row r="14">
      <c r="A14" s="5" t="inlineStr">
        <is>
          <t>8</t>
        </is>
      </c>
      <c r="B14" s="5" t="inlineStr">
        <is>
          <t>Add/Less: Policy disallowed expenses</t>
        </is>
      </c>
      <c r="C14" s="6" t="inlineStr"/>
      <c r="D14" s="5" t="inlineStr">
        <is>
          <t>Fines, penalties</t>
        </is>
      </c>
      <c r="E14" s="5" t="inlineStr">
        <is>
          <t>Art 3.2.1(d)</t>
        </is>
      </c>
    </row>
    <row r="15">
      <c r="A15" s="5" t="inlineStr">
        <is>
          <t>9</t>
        </is>
      </c>
      <c r="B15" s="5" t="inlineStr">
        <is>
          <t>Add/Less: Prior period errors/omissions</t>
        </is>
      </c>
      <c r="C15" s="6" t="inlineStr"/>
      <c r="D15" s="5" t="inlineStr"/>
      <c r="E15" s="5" t="inlineStr">
        <is>
          <t>Art 3.2.1(e)</t>
        </is>
      </c>
    </row>
    <row r="16">
      <c r="A16" s="5" t="inlineStr">
        <is>
          <t>10</t>
        </is>
      </c>
      <c r="B16" s="5" t="inlineStr">
        <is>
          <t>Add/Less: Stock compensation election</t>
        </is>
      </c>
      <c r="C16" s="6" t="inlineStr"/>
      <c r="D16" s="5" t="inlineStr">
        <is>
          <t>If elected</t>
        </is>
      </c>
      <c r="E16" s="5" t="inlineStr">
        <is>
          <t>Art 3.2.2</t>
        </is>
      </c>
    </row>
    <row r="17">
      <c r="A17" s="5" t="inlineStr">
        <is>
          <t>11</t>
        </is>
      </c>
      <c r="B17" s="5" t="inlineStr">
        <is>
          <t>Add/Less: Pension expense adjustment</t>
        </is>
      </c>
      <c r="C17" s="6" t="inlineStr"/>
      <c r="D17" s="5" t="inlineStr">
        <is>
          <t>If elected</t>
        </is>
      </c>
      <c r="E17" s="5" t="inlineStr">
        <is>
          <t>Art 3.2.3</t>
        </is>
      </c>
    </row>
    <row r="18">
      <c r="A18" s="5" t="inlineStr">
        <is>
          <t>12</t>
        </is>
      </c>
      <c r="B18" s="5" t="inlineStr">
        <is>
          <t>Add/Less: Asset revaluation election</t>
        </is>
      </c>
      <c r="C18" s="6" t="inlineStr"/>
      <c r="D18" s="5" t="inlineStr">
        <is>
          <t>If elected</t>
        </is>
      </c>
      <c r="E18" s="5" t="inlineStr">
        <is>
          <t>Art 3.2.4</t>
        </is>
      </c>
    </row>
    <row r="19">
      <c r="A19" s="5" t="inlineStr">
        <is>
          <t>13</t>
        </is>
      </c>
      <c r="B19" s="5" t="inlineStr">
        <is>
          <t>Add/Less: Asymmetric FX gains/losses</t>
        </is>
      </c>
      <c r="C19" s="6" t="inlineStr"/>
      <c r="D19" s="5" t="inlineStr"/>
      <c r="E19" s="5" t="inlineStr">
        <is>
          <t>Art 3.2.1(g)</t>
        </is>
      </c>
    </row>
    <row r="20">
      <c r="A20" s="5" t="inlineStr">
        <is>
          <t>14</t>
        </is>
      </c>
      <c r="B20" s="5" t="inlineStr">
        <is>
          <t>Add/Less: Intercompany eliminations</t>
        </is>
      </c>
      <c r="C20" s="6" t="inlineStr"/>
      <c r="D20" s="5" t="inlineStr">
        <is>
          <t>If applicable</t>
        </is>
      </c>
      <c r="E20" s="5" t="inlineStr"/>
    </row>
    <row r="21">
      <c r="A21" s="5" t="inlineStr">
        <is>
          <t>15</t>
        </is>
      </c>
      <c r="B21" s="5" t="inlineStr">
        <is>
          <t>Other adjustments</t>
        </is>
      </c>
      <c r="C21" s="6" t="inlineStr"/>
      <c r="D21" s="5" t="inlineStr">
        <is>
          <t>Specify</t>
        </is>
      </c>
      <c r="E21" s="5" t="inlineStr"/>
    </row>
    <row r="22">
      <c r="A22" s="15" t="inlineStr"/>
      <c r="B22" s="15" t="inlineStr">
        <is>
          <t>TOTAL GloBE INCOME (per calculation)</t>
        </is>
      </c>
      <c r="C22" s="15" t="inlineStr"/>
      <c r="D22" s="15" t="inlineStr"/>
      <c r="E22" s="15" t="inlineStr"/>
    </row>
    <row r="23">
      <c r="A23" s="15" t="inlineStr"/>
      <c r="B23" s="15" t="inlineStr">
        <is>
          <t>GloBE Income per GIR</t>
        </is>
      </c>
      <c r="C23" s="15" t="inlineStr"/>
      <c r="D23" s="15" t="inlineStr"/>
      <c r="E23" s="15" t="inlineStr"/>
    </row>
    <row r="24">
      <c r="A24" s="15" t="inlineStr"/>
      <c r="B24" s="15" t="inlineStr">
        <is>
          <t>VARIANCE</t>
        </is>
      </c>
      <c r="C24" s="15" t="inlineStr"/>
      <c r="D24" s="15" t="inlineStr"/>
      <c r="E24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25" customWidth="1" min="4" max="4"/>
    <col width="12" customWidth="1" min="5" max="5"/>
  </cols>
  <sheetData>
    <row r="1">
      <c r="A1" s="1" t="inlineStr">
        <is>
          <t>COVERED TAXES RECONCILIATION</t>
        </is>
      </c>
    </row>
    <row r="3">
      <c r="A3" t="inlineStr">
        <is>
          <t>This tab reconciles GIR Covered Taxes to tax provision</t>
        </is>
      </c>
    </row>
    <row r="5">
      <c r="A5" s="10" t="inlineStr">
        <is>
          <t>Ref</t>
        </is>
      </c>
      <c r="B5" s="10" t="inlineStr">
        <is>
          <t>Description</t>
        </is>
      </c>
      <c r="C5" s="10" t="inlineStr">
        <is>
          <t>Amount (€)</t>
        </is>
      </c>
      <c r="D5" s="10" t="inlineStr">
        <is>
          <t>Notes</t>
        </is>
      </c>
      <c r="E5" s="10" t="inlineStr">
        <is>
          <t>Article Ref</t>
        </is>
      </c>
    </row>
    <row r="6">
      <c r="A6" s="5" t="inlineStr">
        <is>
          <t>1</t>
        </is>
      </c>
      <c r="B6" s="5" t="inlineStr">
        <is>
          <t>Current tax expense per Tax Provision</t>
        </is>
      </c>
      <c r="C6" s="6" t="inlineStr"/>
      <c r="D6" s="5" t="inlineStr">
        <is>
          <t>Per IAS 12/ASC 740</t>
        </is>
      </c>
      <c r="E6" s="5" t="inlineStr"/>
    </row>
    <row r="7">
      <c r="A7" s="5" t="inlineStr">
        <is>
          <t>2</t>
        </is>
      </c>
      <c r="B7" s="5" t="inlineStr">
        <is>
          <t>Deferred tax expense per Tax Provision</t>
        </is>
      </c>
      <c r="C7" s="6" t="inlineStr"/>
      <c r="D7" s="5" t="inlineStr">
        <is>
          <t>Per IAS 12/ASC 740</t>
        </is>
      </c>
      <c r="E7" s="5" t="inlineStr"/>
    </row>
    <row r="8">
      <c r="A8" s="5" t="inlineStr">
        <is>
          <t>3</t>
        </is>
      </c>
      <c r="B8" s="5" t="inlineStr">
        <is>
          <t>Total tax expense per Provision</t>
        </is>
      </c>
      <c r="C8" s="6" t="inlineStr"/>
      <c r="D8" s="5">
        <f>C6+C7</f>
        <v/>
      </c>
      <c r="E8" s="5" t="inlineStr"/>
    </row>
    <row r="9">
      <c r="A9" s="14" t="inlineStr"/>
      <c r="B9" s="14" t="inlineStr">
        <is>
          <t>Adjustments to arrive at Covered Taxes:</t>
        </is>
      </c>
      <c r="C9" s="14" t="inlineStr"/>
      <c r="D9" s="14" t="inlineStr"/>
      <c r="E9" s="14" t="inlineStr">
        <is>
          <t>Art 4.1-4.6</t>
        </is>
      </c>
    </row>
    <row r="10">
      <c r="A10" s="5" t="inlineStr">
        <is>
          <t>4</t>
        </is>
      </c>
      <c r="B10" s="5" t="inlineStr">
        <is>
          <t>Less: Taxes not qualifying as Covered Taxes</t>
        </is>
      </c>
      <c r="C10" s="6" t="inlineStr"/>
      <c r="D10" s="5" t="inlineStr">
        <is>
          <t>Per Art 4.1.3</t>
        </is>
      </c>
      <c r="E10" s="5" t="inlineStr">
        <is>
          <t>Art 4.1.3</t>
        </is>
      </c>
    </row>
    <row r="11">
      <c r="A11" s="5" t="inlineStr">
        <is>
          <t>5</t>
        </is>
      </c>
      <c r="B11" s="5" t="inlineStr">
        <is>
          <t>Add/Less: DTL recapture (5-year rule)</t>
        </is>
      </c>
      <c r="C11" s="6" t="inlineStr"/>
      <c r="D11" s="5" t="inlineStr">
        <is>
          <t>If triggered</t>
        </is>
      </c>
      <c r="E11" s="5" t="inlineStr">
        <is>
          <t>Art 4.4.4</t>
        </is>
      </c>
    </row>
    <row r="12">
      <c r="A12" s="5" t="inlineStr">
        <is>
          <t>6</t>
        </is>
      </c>
      <c r="B12" s="5" t="inlineStr">
        <is>
          <t>Add/Less: UTP adjustments</t>
        </is>
      </c>
      <c r="C12" s="6" t="inlineStr"/>
      <c r="D12" s="5" t="inlineStr">
        <is>
          <t>Timing differences</t>
        </is>
      </c>
      <c r="E12" s="5" t="inlineStr">
        <is>
          <t>Art 4.6</t>
        </is>
      </c>
    </row>
    <row r="13">
      <c r="A13" s="5" t="inlineStr">
        <is>
          <t>7</t>
        </is>
      </c>
      <c r="B13" s="5" t="inlineStr">
        <is>
          <t>Add/Less: Timing differences (accrual vs paid)</t>
        </is>
      </c>
      <c r="C13" s="6" t="inlineStr"/>
      <c r="D13" s="5" t="inlineStr">
        <is>
          <t>WHT timing</t>
        </is>
      </c>
      <c r="E13" s="5" t="inlineStr"/>
    </row>
    <row r="14">
      <c r="A14" s="5" t="inlineStr">
        <is>
          <t>8</t>
        </is>
      </c>
      <c r="B14" s="5" t="inlineStr">
        <is>
          <t>Add/Less: Allocation/push-down differences</t>
        </is>
      </c>
      <c r="C14" s="6" t="inlineStr"/>
      <c r="D14" s="5" t="inlineStr">
        <is>
          <t>Methodology</t>
        </is>
      </c>
      <c r="E14" s="5" t="inlineStr"/>
    </row>
    <row r="15">
      <c r="A15" s="5" t="inlineStr">
        <is>
          <t>9</t>
        </is>
      </c>
      <c r="B15" s="5" t="inlineStr">
        <is>
          <t>Add/Less: Currency conversion differences</t>
        </is>
      </c>
      <c r="C15" s="6" t="inlineStr"/>
      <c r="D15" s="5" t="inlineStr">
        <is>
          <t>FX impact</t>
        </is>
      </c>
      <c r="E15" s="5" t="inlineStr"/>
    </row>
    <row r="16">
      <c r="A16" s="5" t="inlineStr">
        <is>
          <t>10</t>
        </is>
      </c>
      <c r="B16" s="5" t="inlineStr">
        <is>
          <t>Add/Less: QRTC reclassification</t>
        </is>
      </c>
      <c r="C16" s="6" t="inlineStr"/>
      <c r="D16" s="5" t="inlineStr">
        <is>
          <t>If applicable</t>
        </is>
      </c>
      <c r="E16" s="5" t="inlineStr">
        <is>
          <t>Art 3.2.1(h)</t>
        </is>
      </c>
    </row>
    <row r="17">
      <c r="A17" s="5" t="inlineStr">
        <is>
          <t>11</t>
        </is>
      </c>
      <c r="B17" s="5" t="inlineStr">
        <is>
          <t>Add/Less: Tax on excluded income</t>
        </is>
      </c>
      <c r="C17" s="6" t="inlineStr"/>
      <c r="D17" s="5" t="inlineStr">
        <is>
          <t>Excluded dividends</t>
        </is>
      </c>
      <c r="E17" s="5" t="inlineStr"/>
    </row>
    <row r="18">
      <c r="A18" s="5" t="inlineStr">
        <is>
          <t>12</t>
        </is>
      </c>
      <c r="B18" s="5" t="inlineStr">
        <is>
          <t>Add: Taxes attributable to tax transparent entities</t>
        </is>
      </c>
      <c r="C18" s="6" t="inlineStr"/>
      <c r="D18" s="5" t="inlineStr">
        <is>
          <t>Flow-through</t>
        </is>
      </c>
      <c r="E18" s="5" t="inlineStr">
        <is>
          <t>Art 4.3.2(c)</t>
        </is>
      </c>
    </row>
    <row r="19">
      <c r="A19" s="5" t="inlineStr">
        <is>
          <t>13</t>
        </is>
      </c>
      <c r="B19" s="5" t="inlineStr">
        <is>
          <t>Less: Taxes paid by tax transparent owners</t>
        </is>
      </c>
      <c r="C19" s="6" t="inlineStr"/>
      <c r="D19" s="5" t="inlineStr"/>
      <c r="E19" s="5" t="inlineStr">
        <is>
          <t>Art 4.3.2(c)</t>
        </is>
      </c>
    </row>
    <row r="20">
      <c r="A20" s="5" t="inlineStr">
        <is>
          <t>14</t>
        </is>
      </c>
      <c r="B20" s="5" t="inlineStr">
        <is>
          <t>Other adjustments</t>
        </is>
      </c>
      <c r="C20" s="6" t="inlineStr"/>
      <c r="D20" s="5" t="inlineStr">
        <is>
          <t>Specify</t>
        </is>
      </c>
      <c r="E20" s="5" t="inlineStr"/>
    </row>
    <row r="21">
      <c r="A21" s="15" t="inlineStr"/>
      <c r="B21" s="15" t="inlineStr">
        <is>
          <t>TOTAL ADJUSTED COVERED TAXES (per calc)</t>
        </is>
      </c>
      <c r="C21" s="15" t="inlineStr"/>
      <c r="D21" s="15" t="inlineStr"/>
      <c r="E21" s="15" t="inlineStr"/>
    </row>
    <row r="22">
      <c r="A22" s="15" t="inlineStr"/>
      <c r="B22" s="15" t="inlineStr">
        <is>
          <t>Covered Taxes per GIR</t>
        </is>
      </c>
      <c r="C22" s="15" t="inlineStr"/>
      <c r="D22" s="15" t="inlineStr"/>
      <c r="E22" s="15" t="inlineStr"/>
    </row>
    <row r="23">
      <c r="A23" s="15" t="inlineStr"/>
      <c r="B23" s="15" t="inlineStr">
        <is>
          <t>VARIANCE</t>
        </is>
      </c>
      <c r="C23" s="15" t="inlineStr"/>
      <c r="D23" s="15" t="inlineStr"/>
      <c r="E23" s="15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ETR COMPARISON BY JURISDICTION</t>
        </is>
      </c>
    </row>
    <row r="3">
      <c r="A3" t="inlineStr">
        <is>
          <t>Comparison of GIR ETR to Tax Provision ETR by jurisdiction</t>
        </is>
      </c>
    </row>
    <row r="5">
      <c r="A5" s="4" t="inlineStr">
        <is>
          <t>Jurisdiction</t>
        </is>
      </c>
      <c r="B5" s="4" t="inlineStr">
        <is>
          <t>Code</t>
        </is>
      </c>
      <c r="C5" s="4" t="inlineStr">
        <is>
          <t>GloBE Income</t>
        </is>
      </c>
      <c r="D5" s="4" t="inlineStr">
        <is>
          <t>Covered Taxes</t>
        </is>
      </c>
      <c r="E5" s="4" t="inlineStr">
        <is>
          <t>GIR ETR</t>
        </is>
      </c>
      <c r="F5" s="4" t="inlineStr">
        <is>
          <t>Provision ETR</t>
        </is>
      </c>
      <c r="G5" s="4" t="inlineStr">
        <is>
          <t>Variance</t>
        </is>
      </c>
      <c r="H5" s="4" t="inlineStr">
        <is>
          <t>Status</t>
        </is>
      </c>
    </row>
    <row r="6">
      <c r="A6" s="5" t="inlineStr">
        <is>
          <t>United Kingdom</t>
        </is>
      </c>
      <c r="B6" s="5" t="inlineStr">
        <is>
          <t>GB</t>
        </is>
      </c>
      <c r="C6" s="6" t="n"/>
      <c r="D6" s="6" t="n"/>
      <c r="E6" s="16" t="n"/>
      <c r="F6" s="16" t="n"/>
      <c r="G6" s="8">
        <f>E6-F6</f>
        <v/>
      </c>
      <c r="H6" s="13">
        <f>IF(ABS(G6)&lt;0.01,"OK",IF(ABS(G6)&lt;0.05,"REVIEW",IF(ABS(G6)&lt;0.1,"WARNING","ERROR")))</f>
        <v/>
      </c>
    </row>
    <row r="7">
      <c r="A7" s="5" t="inlineStr">
        <is>
          <t>Germany</t>
        </is>
      </c>
      <c r="B7" s="5" t="inlineStr">
        <is>
          <t>DE</t>
        </is>
      </c>
      <c r="C7" s="6" t="n"/>
      <c r="D7" s="6" t="n"/>
      <c r="E7" s="16" t="n"/>
      <c r="F7" s="16" t="n"/>
      <c r="G7" s="8">
        <f>E7-F7</f>
        <v/>
      </c>
      <c r="H7" s="13">
        <f>IF(ABS(G7)&lt;0.01,"OK",IF(ABS(G7)&lt;0.05,"REVIEW",IF(ABS(G7)&lt;0.1,"WARNING","ERROR")))</f>
        <v/>
      </c>
    </row>
    <row r="8">
      <c r="A8" s="5" t="inlineStr">
        <is>
          <t>Netherlands</t>
        </is>
      </c>
      <c r="B8" s="5" t="inlineStr">
        <is>
          <t>NL</t>
        </is>
      </c>
      <c r="C8" s="6" t="n"/>
      <c r="D8" s="6" t="n"/>
      <c r="E8" s="16" t="n"/>
      <c r="F8" s="16" t="n"/>
      <c r="G8" s="8">
        <f>E8-F8</f>
        <v/>
      </c>
      <c r="H8" s="13">
        <f>IF(ABS(G8)&lt;0.01,"OK",IF(ABS(G8)&lt;0.05,"REVIEW",IF(ABS(G8)&lt;0.1,"WARNING","ERROR")))</f>
        <v/>
      </c>
    </row>
    <row r="9">
      <c r="A9" s="5" t="inlineStr">
        <is>
          <t>France</t>
        </is>
      </c>
      <c r="B9" s="5" t="inlineStr">
        <is>
          <t>FR</t>
        </is>
      </c>
      <c r="C9" s="6" t="n"/>
      <c r="D9" s="6" t="n"/>
      <c r="E9" s="16" t="n"/>
      <c r="F9" s="16" t="n"/>
      <c r="G9" s="8">
        <f>E9-F9</f>
        <v/>
      </c>
      <c r="H9" s="13">
        <f>IF(ABS(G9)&lt;0.01,"OK",IF(ABS(G9)&lt;0.05,"REVIEW",IF(ABS(G9)&lt;0.1,"WARNING","ERROR")))</f>
        <v/>
      </c>
    </row>
    <row r="10">
      <c r="A10" s="5" t="inlineStr">
        <is>
          <t>Ireland</t>
        </is>
      </c>
      <c r="B10" s="5" t="inlineStr">
        <is>
          <t>IE</t>
        </is>
      </c>
      <c r="C10" s="6" t="n"/>
      <c r="D10" s="6" t="n"/>
      <c r="E10" s="16" t="n"/>
      <c r="F10" s="16" t="n"/>
      <c r="G10" s="8">
        <f>E10-F10</f>
        <v/>
      </c>
      <c r="H10" s="13">
        <f>IF(ABS(G10)&lt;0.01,"OK",IF(ABS(G10)&lt;0.05,"REVIEW",IF(ABS(G10)&lt;0.1,"WARNING","ERROR")))</f>
        <v/>
      </c>
    </row>
    <row r="11">
      <c r="A11" s="5" t="inlineStr">
        <is>
          <t>Luxembourg</t>
        </is>
      </c>
      <c r="B11" s="5" t="inlineStr">
        <is>
          <t>LU</t>
        </is>
      </c>
      <c r="C11" s="6" t="n"/>
      <c r="D11" s="6" t="n"/>
      <c r="E11" s="16" t="n"/>
      <c r="F11" s="16" t="n"/>
      <c r="G11" s="8">
        <f>E11-F11</f>
        <v/>
      </c>
      <c r="H11" s="13">
        <f>IF(ABS(G11)&lt;0.01,"OK",IF(ABS(G11)&lt;0.05,"REVIEW",IF(ABS(G11)&lt;0.1,"WARNING","ERROR")))</f>
        <v/>
      </c>
    </row>
    <row r="12">
      <c r="A12" s="5" t="inlineStr">
        <is>
          <t>Switzerland</t>
        </is>
      </c>
      <c r="B12" s="5" t="inlineStr">
        <is>
          <t>CH</t>
        </is>
      </c>
      <c r="C12" s="6" t="n"/>
      <c r="D12" s="6" t="n"/>
      <c r="E12" s="16" t="n"/>
      <c r="F12" s="16" t="n"/>
      <c r="G12" s="8">
        <f>E12-F12</f>
        <v/>
      </c>
      <c r="H12" s="13">
        <f>IF(ABS(G12)&lt;0.01,"OK",IF(ABS(G12)&lt;0.05,"REVIEW",IF(ABS(G12)&lt;0.1,"WARNING","ERROR")))</f>
        <v/>
      </c>
    </row>
    <row r="13">
      <c r="A13" s="5" t="inlineStr">
        <is>
          <t>Singapore</t>
        </is>
      </c>
      <c r="B13" s="5" t="inlineStr">
        <is>
          <t>SG</t>
        </is>
      </c>
      <c r="C13" s="6" t="n"/>
      <c r="D13" s="6" t="n"/>
      <c r="E13" s="16" t="n"/>
      <c r="F13" s="16" t="n"/>
      <c r="G13" s="8">
        <f>E13-F13</f>
        <v/>
      </c>
      <c r="H13" s="13">
        <f>IF(ABS(G13)&lt;0.01,"OK",IF(ABS(G13)&lt;0.05,"REVIEW",IF(ABS(G13)&lt;0.1,"WARNING","ERROR")))</f>
        <v/>
      </c>
    </row>
    <row r="14">
      <c r="A14" s="5" t="inlineStr">
        <is>
          <t>Australia</t>
        </is>
      </c>
      <c r="B14" s="5" t="inlineStr">
        <is>
          <t>AU</t>
        </is>
      </c>
      <c r="C14" s="6" t="n"/>
      <c r="D14" s="6" t="n"/>
      <c r="E14" s="16" t="n"/>
      <c r="F14" s="16" t="n"/>
      <c r="G14" s="8">
        <f>E14-F14</f>
        <v/>
      </c>
      <c r="H14" s="13">
        <f>IF(ABS(G14)&lt;0.01,"OK",IF(ABS(G14)&lt;0.05,"REVIEW",IF(ABS(G14)&lt;0.1,"WARNING","ERROR")))</f>
        <v/>
      </c>
    </row>
    <row r="15">
      <c r="A15" s="5" t="inlineStr">
        <is>
          <t>Japan</t>
        </is>
      </c>
      <c r="B15" s="5" t="inlineStr">
        <is>
          <t>JP</t>
        </is>
      </c>
      <c r="C15" s="6" t="n"/>
      <c r="D15" s="6" t="n"/>
      <c r="E15" s="16" t="n"/>
      <c r="F15" s="16" t="n"/>
      <c r="G15" s="8">
        <f>E15-F15</f>
        <v/>
      </c>
      <c r="H15" s="13">
        <f>IF(ABS(G15)&lt;0.01,"OK",IF(ABS(G15)&lt;0.05,"REVIEW",IF(ABS(G15)&lt;0.1,"WARNING","ERROR")))</f>
        <v/>
      </c>
    </row>
    <row r="16">
      <c r="A16" s="5" t="inlineStr">
        <is>
          <t>Canada</t>
        </is>
      </c>
      <c r="B16" s="5" t="inlineStr">
        <is>
          <t>CA</t>
        </is>
      </c>
      <c r="C16" s="6" t="n"/>
      <c r="D16" s="6" t="n"/>
      <c r="E16" s="16" t="n"/>
      <c r="F16" s="16" t="n"/>
      <c r="G16" s="8">
        <f>E16-F16</f>
        <v/>
      </c>
      <c r="H16" s="13">
        <f>IF(ABS(G16)&lt;0.01,"OK",IF(ABS(G16)&lt;0.05,"REVIEW",IF(ABS(G16)&lt;0.1,"WARNING","ERROR")))</f>
        <v/>
      </c>
    </row>
    <row r="17">
      <c r="A17" s="5" t="inlineStr">
        <is>
          <t>Italy</t>
        </is>
      </c>
      <c r="B17" s="5" t="inlineStr">
        <is>
          <t>IT</t>
        </is>
      </c>
      <c r="C17" s="6" t="n"/>
      <c r="D17" s="6" t="n"/>
      <c r="E17" s="16" t="n"/>
      <c r="F17" s="16" t="n"/>
      <c r="G17" s="8">
        <f>E17-F17</f>
        <v/>
      </c>
      <c r="H17" s="13">
        <f>IF(ABS(G17)&lt;0.01,"OK",IF(ABS(G17)&lt;0.05,"REVIEW",IF(ABS(G17)&lt;0.1,"WARNING","ERROR")))</f>
        <v/>
      </c>
    </row>
    <row r="18">
      <c r="A18" s="5" t="inlineStr">
        <is>
          <t>Spain</t>
        </is>
      </c>
      <c r="B18" s="5" t="inlineStr">
        <is>
          <t>ES</t>
        </is>
      </c>
      <c r="C18" s="6" t="n"/>
      <c r="D18" s="6" t="n"/>
      <c r="E18" s="16" t="n"/>
      <c r="F18" s="16" t="n"/>
      <c r="G18" s="8">
        <f>E18-F18</f>
        <v/>
      </c>
      <c r="H18" s="13">
        <f>IF(ABS(G18)&lt;0.01,"OK",IF(ABS(G18)&lt;0.05,"REVIEW",IF(ABS(G18)&lt;0.1,"WARNING","ERROR")))</f>
        <v/>
      </c>
    </row>
    <row r="19">
      <c r="A19" s="5" t="inlineStr">
        <is>
          <t>Austria</t>
        </is>
      </c>
      <c r="B19" s="5" t="inlineStr">
        <is>
          <t>AT</t>
        </is>
      </c>
      <c r="C19" s="6" t="n"/>
      <c r="D19" s="6" t="n"/>
      <c r="E19" s="16" t="n"/>
      <c r="F19" s="16" t="n"/>
      <c r="G19" s="8">
        <f>E19-F19</f>
        <v/>
      </c>
      <c r="H19" s="13">
        <f>IF(ABS(G19)&lt;0.01,"OK",IF(ABS(G19)&lt;0.05,"REVIEW",IF(ABS(G19)&lt;0.1,"WARNING","ERROR")))</f>
        <v/>
      </c>
    </row>
    <row r="20">
      <c r="A20" s="5" t="inlineStr">
        <is>
          <t>South Korea</t>
        </is>
      </c>
      <c r="B20" s="5" t="inlineStr">
        <is>
          <t>KR</t>
        </is>
      </c>
      <c r="C20" s="6" t="n"/>
      <c r="D20" s="6" t="n"/>
      <c r="E20" s="16" t="n"/>
      <c r="F20" s="16" t="n"/>
      <c r="G20" s="8">
        <f>E20-F20</f>
        <v/>
      </c>
      <c r="H20" s="13">
        <f>IF(ABS(G20)&lt;0.01,"OK",IF(ABS(G20)&lt;0.05,"REVIEW",IF(ABS(G20)&lt;0.1,"WARNING","ERROR")))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TOP-UP TAX ALLOCATION RECONCILIATION</t>
        </is>
      </c>
    </row>
    <row r="3">
      <c r="A3" s="10" t="inlineStr">
        <is>
          <t>Jurisdiction</t>
        </is>
      </c>
      <c r="B3" s="10" t="inlineStr">
        <is>
          <t>GloBE Income</t>
        </is>
      </c>
      <c r="C3" s="10" t="inlineStr">
        <is>
          <t>SBIE</t>
        </is>
      </c>
      <c r="D3" s="10" t="inlineStr">
        <is>
          <t>Excess Profit</t>
        </is>
      </c>
      <c r="E3" s="10" t="inlineStr">
        <is>
          <t>Top-up %</t>
        </is>
      </c>
      <c r="F3" s="10" t="inlineStr">
        <is>
          <t>Top-up Tax</t>
        </is>
      </c>
      <c r="G3" s="10" t="inlineStr">
        <is>
          <t>QDMTT Offset</t>
        </is>
      </c>
    </row>
    <row r="4">
      <c r="A4" s="5" t="inlineStr">
        <is>
          <t>GB</t>
        </is>
      </c>
      <c r="B4" s="6" t="n"/>
      <c r="C4" s="6" t="n"/>
      <c r="D4" s="13">
        <f>MAX(0,B4-C4)</f>
        <v/>
      </c>
      <c r="E4" s="16" t="n"/>
      <c r="F4" s="6" t="n"/>
      <c r="G4" s="6" t="n"/>
    </row>
    <row r="5">
      <c r="A5" s="5" t="inlineStr">
        <is>
          <t>DE</t>
        </is>
      </c>
      <c r="B5" s="6" t="n"/>
      <c r="C5" s="6" t="n"/>
      <c r="D5" s="13">
        <f>MAX(0,B5-C5)</f>
        <v/>
      </c>
      <c r="E5" s="16" t="n"/>
      <c r="F5" s="6" t="n"/>
      <c r="G5" s="6" t="n"/>
    </row>
    <row r="6">
      <c r="A6" s="5" t="inlineStr">
        <is>
          <t>NL</t>
        </is>
      </c>
      <c r="B6" s="6" t="n"/>
      <c r="C6" s="6" t="n"/>
      <c r="D6" s="13">
        <f>MAX(0,B6-C6)</f>
        <v/>
      </c>
      <c r="E6" s="16" t="n"/>
      <c r="F6" s="6" t="n"/>
      <c r="G6" s="6" t="n"/>
    </row>
    <row r="7">
      <c r="A7" s="5" t="inlineStr">
        <is>
          <t>FR</t>
        </is>
      </c>
      <c r="B7" s="6" t="n"/>
      <c r="C7" s="6" t="n"/>
      <c r="D7" s="13">
        <f>MAX(0,B7-C7)</f>
        <v/>
      </c>
      <c r="E7" s="16" t="n"/>
      <c r="F7" s="6" t="n"/>
      <c r="G7" s="6" t="n"/>
    </row>
    <row r="8">
      <c r="A8" s="5" t="inlineStr">
        <is>
          <t>IE</t>
        </is>
      </c>
      <c r="B8" s="6" t="n"/>
      <c r="C8" s="6" t="n"/>
      <c r="D8" s="13">
        <f>MAX(0,B8-C8)</f>
        <v/>
      </c>
      <c r="E8" s="16" t="n"/>
      <c r="F8" s="6" t="n"/>
      <c r="G8" s="6" t="n"/>
    </row>
    <row r="9">
      <c r="A9" s="5" t="inlineStr">
        <is>
          <t>LU</t>
        </is>
      </c>
      <c r="B9" s="6" t="n"/>
      <c r="C9" s="6" t="n"/>
      <c r="D9" s="13">
        <f>MAX(0,B9-C9)</f>
        <v/>
      </c>
      <c r="E9" s="16" t="n"/>
      <c r="F9" s="6" t="n"/>
      <c r="G9" s="6" t="n"/>
    </row>
    <row r="10">
      <c r="A10" s="5" t="inlineStr">
        <is>
          <t>CH</t>
        </is>
      </c>
      <c r="B10" s="6" t="n"/>
      <c r="C10" s="6" t="n"/>
      <c r="D10" s="13">
        <f>MAX(0,B10-C10)</f>
        <v/>
      </c>
      <c r="E10" s="16" t="n"/>
      <c r="F10" s="6" t="n"/>
      <c r="G10" s="6" t="n"/>
    </row>
    <row r="11">
      <c r="A11" s="5" t="inlineStr">
        <is>
          <t>SG</t>
        </is>
      </c>
      <c r="B11" s="6" t="n"/>
      <c r="C11" s="6" t="n"/>
      <c r="D11" s="13">
        <f>MAX(0,B11-C11)</f>
        <v/>
      </c>
      <c r="E11" s="16" t="n"/>
      <c r="F11" s="6" t="n"/>
      <c r="G11" s="6" t="n"/>
    </row>
    <row r="12">
      <c r="A12" s="5" t="inlineStr">
        <is>
          <t>AU</t>
        </is>
      </c>
      <c r="B12" s="6" t="n"/>
      <c r="C12" s="6" t="n"/>
      <c r="D12" s="13">
        <f>MAX(0,B12-C12)</f>
        <v/>
      </c>
      <c r="E12" s="16" t="n"/>
      <c r="F12" s="6" t="n"/>
      <c r="G12" s="6" t="n"/>
    </row>
    <row r="13">
      <c r="A13" s="5" t="inlineStr">
        <is>
          <t>JP</t>
        </is>
      </c>
      <c r="B13" s="6" t="n"/>
      <c r="C13" s="6" t="n"/>
      <c r="D13" s="13">
        <f>MAX(0,B13-C13)</f>
        <v/>
      </c>
      <c r="E13" s="16" t="n"/>
      <c r="F13" s="6" t="n"/>
      <c r="G13" s="6" t="n"/>
    </row>
    <row r="14">
      <c r="A14" s="5" t="inlineStr">
        <is>
          <t>CA</t>
        </is>
      </c>
      <c r="B14" s="6" t="n"/>
      <c r="C14" s="6" t="n"/>
      <c r="D14" s="13">
        <f>MAX(0,B14-C14)</f>
        <v/>
      </c>
      <c r="E14" s="16" t="n"/>
      <c r="F14" s="6" t="n"/>
      <c r="G14" s="6" t="n"/>
    </row>
    <row r="15">
      <c r="A15" s="5" t="inlineStr">
        <is>
          <t>IT</t>
        </is>
      </c>
      <c r="B15" s="6" t="n"/>
      <c r="C15" s="6" t="n"/>
      <c r="D15" s="13">
        <f>MAX(0,B15-C15)</f>
        <v/>
      </c>
      <c r="E15" s="16" t="n"/>
      <c r="F15" s="6" t="n"/>
      <c r="G15" s="6" t="n"/>
    </row>
    <row r="16">
      <c r="A16" s="5" t="inlineStr">
        <is>
          <t>ES</t>
        </is>
      </c>
      <c r="B16" s="6" t="n"/>
      <c r="C16" s="6" t="n"/>
      <c r="D16" s="13">
        <f>MAX(0,B16-C16)</f>
        <v/>
      </c>
      <c r="E16" s="16" t="n"/>
      <c r="F16" s="6" t="n"/>
      <c r="G16" s="6" t="n"/>
    </row>
    <row r="17">
      <c r="A17" s="5" t="inlineStr">
        <is>
          <t>AT</t>
        </is>
      </c>
      <c r="B17" s="6" t="n"/>
      <c r="C17" s="6" t="n"/>
      <c r="D17" s="13">
        <f>MAX(0,B17-C17)</f>
        <v/>
      </c>
      <c r="E17" s="16" t="n"/>
      <c r="F17" s="6" t="n"/>
      <c r="G17" s="6" t="n"/>
    </row>
    <row r="18">
      <c r="A18" s="5" t="inlineStr">
        <is>
          <t>KR</t>
        </is>
      </c>
      <c r="B18" s="6" t="n"/>
      <c r="C18" s="6" t="n"/>
      <c r="D18" s="13">
        <f>MAX(0,B18-C18)</f>
        <v/>
      </c>
      <c r="E18" s="16" t="n"/>
      <c r="F18" s="6" t="n"/>
      <c r="G18" s="6" t="n"/>
    </row>
    <row r="20">
      <c r="A20" s="9" t="inlineStr">
        <is>
          <t>TOTAL</t>
        </is>
      </c>
      <c r="B20" s="17">
        <f>SUM(B4:B18)</f>
        <v/>
      </c>
      <c r="F20" s="17">
        <f>SUM(F4:F18)</f>
        <v/>
      </c>
      <c r="G20" s="17">
        <f>SUM(G4:G18)</f>
        <v/>
      </c>
    </row>
    <row r="23">
      <c r="A23" s="2" t="inlineStr">
        <is>
          <t>TOP-UP TAX ALLOCATION</t>
        </is>
      </c>
    </row>
    <row r="24">
      <c r="A24" s="10" t="inlineStr">
        <is>
          <t>Description</t>
        </is>
      </c>
      <c r="B24" s="10" t="inlineStr">
        <is>
          <t>Amount (€)</t>
        </is>
      </c>
      <c r="C24" s="10" t="inlineStr">
        <is>
          <t>Notes</t>
        </is>
      </c>
    </row>
    <row r="25">
      <c r="A25" s="5" t="inlineStr">
        <is>
          <t>Gross Top-up Tax (from above)</t>
        </is>
      </c>
      <c r="B25" s="6" t="inlineStr"/>
      <c r="C25" s="5">
        <f>F20</f>
        <v/>
      </c>
    </row>
    <row r="26">
      <c r="A26" s="5" t="inlineStr">
        <is>
          <t>Less: QDMTT Offset</t>
        </is>
      </c>
      <c r="B26" s="6" t="inlineStr"/>
      <c r="C26" s="5">
        <f>G20</f>
        <v/>
      </c>
    </row>
    <row r="27">
      <c r="A27" s="5" t="inlineStr">
        <is>
          <t>Net Top-up Tax before allocation</t>
        </is>
      </c>
      <c r="B27" s="6" t="inlineStr"/>
      <c r="C27" s="5" t="inlineStr"/>
    </row>
    <row r="28">
      <c r="A28" s="5" t="inlineStr">
        <is>
          <t>Allocated to IIR</t>
        </is>
      </c>
      <c r="B28" s="6" t="inlineStr"/>
      <c r="C28" s="5" t="inlineStr"/>
    </row>
    <row r="29">
      <c r="A29" s="5" t="inlineStr">
        <is>
          <t>Allocated to UTPR</t>
        </is>
      </c>
      <c r="B29" s="6" t="inlineStr"/>
      <c r="C29" s="5" t="inlineStr"/>
    </row>
    <row r="30">
      <c r="A30" s="5" t="inlineStr">
        <is>
          <t>Unallocated (check = 0)</t>
        </is>
      </c>
      <c r="B30" s="6" t="inlineStr"/>
      <c r="C30" s="5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VARIANCE ANALYSIS - EXCEPTION REPORT</t>
        </is>
      </c>
    </row>
    <row r="3">
      <c r="A3" s="9" t="inlineStr">
        <is>
          <t>Variance Category Codes:</t>
        </is>
      </c>
    </row>
    <row r="4">
      <c r="A4" t="inlineStr">
        <is>
          <t>T=Timing  |  B=Basis  |  E=Election  |  R=Rounding  |  S=Source  |  X=Error</t>
        </is>
      </c>
    </row>
    <row r="6">
      <c r="A6" s="10" t="inlineStr">
        <is>
          <t>Jurisdiction</t>
        </is>
      </c>
      <c r="B6" s="10" t="inlineStr">
        <is>
          <t>Element</t>
        </is>
      </c>
      <c r="C6" s="10" t="inlineStr">
        <is>
          <t>GIR Amount</t>
        </is>
      </c>
      <c r="D6" s="10" t="inlineStr">
        <is>
          <t>Tax Calc</t>
        </is>
      </c>
      <c r="E6" s="10" t="inlineStr">
        <is>
          <t>Variance</t>
        </is>
      </c>
      <c r="F6" s="10" t="inlineStr">
        <is>
          <t>Var %</t>
        </is>
      </c>
      <c r="G6" s="10" t="inlineStr">
        <is>
          <t>Category</t>
        </is>
      </c>
      <c r="H6" s="10" t="inlineStr">
        <is>
          <t>Action Required</t>
        </is>
      </c>
    </row>
    <row r="7">
      <c r="A7" s="12" t="n"/>
      <c r="B7" s="12" t="n"/>
      <c r="C7" s="6" t="n"/>
      <c r="D7" s="6" t="n"/>
      <c r="E7" s="7">
        <f>C7-D7</f>
        <v/>
      </c>
      <c r="F7" s="8">
        <f>IF(D7&lt;&gt;0,E7/ABS(D7),"")</f>
        <v/>
      </c>
      <c r="G7" s="12" t="n"/>
      <c r="H7" s="12" t="n"/>
    </row>
    <row r="8">
      <c r="A8" s="12" t="n"/>
      <c r="B8" s="12" t="n"/>
      <c r="C8" s="6" t="n"/>
      <c r="D8" s="6" t="n"/>
      <c r="E8" s="7">
        <f>C8-D8</f>
        <v/>
      </c>
      <c r="F8" s="8">
        <f>IF(D8&lt;&gt;0,E8/ABS(D8),"")</f>
        <v/>
      </c>
      <c r="G8" s="12" t="n"/>
      <c r="H8" s="12" t="n"/>
    </row>
    <row r="9">
      <c r="A9" s="12" t="n"/>
      <c r="B9" s="12" t="n"/>
      <c r="C9" s="6" t="n"/>
      <c r="D9" s="6" t="n"/>
      <c r="E9" s="7">
        <f>C9-D9</f>
        <v/>
      </c>
      <c r="F9" s="8">
        <f>IF(D9&lt;&gt;0,E9/ABS(D9),"")</f>
        <v/>
      </c>
      <c r="G9" s="12" t="n"/>
      <c r="H9" s="12" t="n"/>
    </row>
    <row r="10">
      <c r="A10" s="12" t="n"/>
      <c r="B10" s="12" t="n"/>
      <c r="C10" s="6" t="n"/>
      <c r="D10" s="6" t="n"/>
      <c r="E10" s="7">
        <f>C10-D10</f>
        <v/>
      </c>
      <c r="F10" s="8">
        <f>IF(D10&lt;&gt;0,E10/ABS(D10),"")</f>
        <v/>
      </c>
      <c r="G10" s="12" t="n"/>
      <c r="H10" s="12" t="n"/>
    </row>
    <row r="11">
      <c r="A11" s="12" t="n"/>
      <c r="B11" s="12" t="n"/>
      <c r="C11" s="6" t="n"/>
      <c r="D11" s="6" t="n"/>
      <c r="E11" s="7">
        <f>C11-D11</f>
        <v/>
      </c>
      <c r="F11" s="8">
        <f>IF(D11&lt;&gt;0,E11/ABS(D11),"")</f>
        <v/>
      </c>
      <c r="G11" s="12" t="n"/>
      <c r="H11" s="12" t="n"/>
    </row>
    <row r="12">
      <c r="A12" s="12" t="n"/>
      <c r="B12" s="12" t="n"/>
      <c r="C12" s="6" t="n"/>
      <c r="D12" s="6" t="n"/>
      <c r="E12" s="7">
        <f>C12-D12</f>
        <v/>
      </c>
      <c r="F12" s="8">
        <f>IF(D12&lt;&gt;0,E12/ABS(D12),"")</f>
        <v/>
      </c>
      <c r="G12" s="12" t="n"/>
      <c r="H12" s="12" t="n"/>
    </row>
    <row r="13">
      <c r="A13" s="12" t="n"/>
      <c r="B13" s="12" t="n"/>
      <c r="C13" s="6" t="n"/>
      <c r="D13" s="6" t="n"/>
      <c r="E13" s="7">
        <f>C13-D13</f>
        <v/>
      </c>
      <c r="F13" s="8">
        <f>IF(D13&lt;&gt;0,E13/ABS(D13),"")</f>
        <v/>
      </c>
      <c r="G13" s="12" t="n"/>
      <c r="H13" s="12" t="n"/>
    </row>
    <row r="14">
      <c r="A14" s="12" t="n"/>
      <c r="B14" s="12" t="n"/>
      <c r="C14" s="6" t="n"/>
      <c r="D14" s="6" t="n"/>
      <c r="E14" s="7">
        <f>C14-D14</f>
        <v/>
      </c>
      <c r="F14" s="8">
        <f>IF(D14&lt;&gt;0,E14/ABS(D14),"")</f>
        <v/>
      </c>
      <c r="G14" s="12" t="n"/>
      <c r="H14" s="12" t="n"/>
    </row>
    <row r="15">
      <c r="A15" s="12" t="n"/>
      <c r="B15" s="12" t="n"/>
      <c r="C15" s="6" t="n"/>
      <c r="D15" s="6" t="n"/>
      <c r="E15" s="7">
        <f>C15-D15</f>
        <v/>
      </c>
      <c r="F15" s="8">
        <f>IF(D15&lt;&gt;0,E15/ABS(D15),"")</f>
        <v/>
      </c>
      <c r="G15" s="12" t="n"/>
      <c r="H15" s="12" t="n"/>
    </row>
    <row r="16">
      <c r="A16" s="12" t="n"/>
      <c r="B16" s="12" t="n"/>
      <c r="C16" s="6" t="n"/>
      <c r="D16" s="6" t="n"/>
      <c r="E16" s="7">
        <f>C16-D16</f>
        <v/>
      </c>
      <c r="F16" s="8">
        <f>IF(D16&lt;&gt;0,E16/ABS(D16),"")</f>
        <v/>
      </c>
      <c r="G16" s="12" t="n"/>
      <c r="H16" s="12" t="n"/>
    </row>
    <row r="17">
      <c r="A17" s="12" t="n"/>
      <c r="B17" s="12" t="n"/>
      <c r="C17" s="6" t="n"/>
      <c r="D17" s="6" t="n"/>
      <c r="E17" s="7">
        <f>C17-D17</f>
        <v/>
      </c>
      <c r="F17" s="8">
        <f>IF(D17&lt;&gt;0,E17/ABS(D17),"")</f>
        <v/>
      </c>
      <c r="G17" s="12" t="n"/>
      <c r="H17" s="12" t="n"/>
    </row>
    <row r="18">
      <c r="A18" s="12" t="n"/>
      <c r="B18" s="12" t="n"/>
      <c r="C18" s="6" t="n"/>
      <c r="D18" s="6" t="n"/>
      <c r="E18" s="7">
        <f>C18-D18</f>
        <v/>
      </c>
      <c r="F18" s="8">
        <f>IF(D18&lt;&gt;0,E18/ABS(D18),"")</f>
        <v/>
      </c>
      <c r="G18" s="12" t="n"/>
      <c r="H18" s="12" t="n"/>
    </row>
    <row r="19">
      <c r="A19" s="12" t="n"/>
      <c r="B19" s="12" t="n"/>
      <c r="C19" s="6" t="n"/>
      <c r="D19" s="6" t="n"/>
      <c r="E19" s="7">
        <f>C19-D19</f>
        <v/>
      </c>
      <c r="F19" s="8">
        <f>IF(D19&lt;&gt;0,E19/ABS(D19),"")</f>
        <v/>
      </c>
      <c r="G19" s="12" t="n"/>
      <c r="H19" s="12" t="n"/>
    </row>
    <row r="20">
      <c r="A20" s="12" t="n"/>
      <c r="B20" s="12" t="n"/>
      <c r="C20" s="6" t="n"/>
      <c r="D20" s="6" t="n"/>
      <c r="E20" s="7">
        <f>C20-D20</f>
        <v/>
      </c>
      <c r="F20" s="8">
        <f>IF(D20&lt;&gt;0,E20/ABS(D20),"")</f>
        <v/>
      </c>
      <c r="G20" s="12" t="n"/>
      <c r="H20" s="12" t="n"/>
    </row>
    <row r="21">
      <c r="A21" s="12" t="n"/>
      <c r="B21" s="12" t="n"/>
      <c r="C21" s="6" t="n"/>
      <c r="D21" s="6" t="n"/>
      <c r="E21" s="7">
        <f>C21-D21</f>
        <v/>
      </c>
      <c r="F21" s="8">
        <f>IF(D21&lt;&gt;0,E21/ABS(D21),"")</f>
        <v/>
      </c>
      <c r="G21" s="12" t="n"/>
      <c r="H21" s="12" t="n"/>
    </row>
    <row r="22">
      <c r="A22" s="12" t="n"/>
      <c r="B22" s="12" t="n"/>
      <c r="C22" s="6" t="n"/>
      <c r="D22" s="6" t="n"/>
      <c r="E22" s="7">
        <f>C22-D22</f>
        <v/>
      </c>
      <c r="F22" s="8">
        <f>IF(D22&lt;&gt;0,E22/ABS(D22),"")</f>
        <v/>
      </c>
      <c r="G22" s="12" t="n"/>
      <c r="H22" s="12" t="n"/>
    </row>
    <row r="23">
      <c r="A23" s="12" t="n"/>
      <c r="B23" s="12" t="n"/>
      <c r="C23" s="6" t="n"/>
      <c r="D23" s="6" t="n"/>
      <c r="E23" s="7">
        <f>C23-D23</f>
        <v/>
      </c>
      <c r="F23" s="8">
        <f>IF(D23&lt;&gt;0,E23/ABS(D23),"")</f>
        <v/>
      </c>
      <c r="G23" s="12" t="n"/>
      <c r="H23" s="12" t="n"/>
    </row>
    <row r="24">
      <c r="A24" s="12" t="n"/>
      <c r="B24" s="12" t="n"/>
      <c r="C24" s="6" t="n"/>
      <c r="D24" s="6" t="n"/>
      <c r="E24" s="7">
        <f>C24-D24</f>
        <v/>
      </c>
      <c r="F24" s="8">
        <f>IF(D24&lt;&gt;0,E24/ABS(D24),"")</f>
        <v/>
      </c>
      <c r="G24" s="12" t="n"/>
      <c r="H24" s="12" t="n"/>
    </row>
    <row r="25">
      <c r="A25" s="12" t="n"/>
      <c r="B25" s="12" t="n"/>
      <c r="C25" s="6" t="n"/>
      <c r="D25" s="6" t="n"/>
      <c r="E25" s="7">
        <f>C25-D25</f>
        <v/>
      </c>
      <c r="F25" s="8">
        <f>IF(D25&lt;&gt;0,E25/ABS(D25),"")</f>
        <v/>
      </c>
      <c r="G25" s="12" t="n"/>
      <c r="H25" s="12" t="n"/>
    </row>
    <row r="26">
      <c r="A26" s="12" t="n"/>
      <c r="B26" s="12" t="n"/>
      <c r="C26" s="6" t="n"/>
      <c r="D26" s="6" t="n"/>
      <c r="E26" s="7">
        <f>C26-D26</f>
        <v/>
      </c>
      <c r="F26" s="8">
        <f>IF(D26&lt;&gt;0,E26/ABS(D26),"")</f>
        <v/>
      </c>
      <c r="G26" s="12" t="n"/>
      <c r="H26" s="12" t="n"/>
    </row>
  </sheetData>
  <mergeCells count="1">
    <mergeCell ref="A1:H1"/>
  </mergeCells>
  <dataValidations count="1">
    <dataValidation sqref="G7:G26" showDropDown="0" showInputMessage="0" showErrorMessage="0" allowBlank="1" type="list">
      <formula1>"T,B,E,R,S,X"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RECONCILIATION APPROVAL AND SIGN-OFF</t>
        </is>
      </c>
    </row>
    <row r="3">
      <c r="A3" t="inlineStr">
        <is>
          <t>MNE Group:</t>
        </is>
      </c>
      <c r="B3" s="12" t="n"/>
    </row>
    <row r="4">
      <c r="A4" t="inlineStr">
        <is>
          <t>Fiscal Year:</t>
        </is>
      </c>
      <c r="B4" s="12" t="n"/>
    </row>
    <row r="5">
      <c r="A5" t="inlineStr">
        <is>
          <t>Prepared by:</t>
        </is>
      </c>
      <c r="B5" s="12" t="n"/>
    </row>
    <row r="6">
      <c r="A6" t="inlineStr">
        <is>
          <t>Preparation Date:</t>
        </is>
      </c>
      <c r="B6" s="12" t="n"/>
    </row>
    <row r="9">
      <c r="A9" s="2" t="inlineStr">
        <is>
          <t>CERTIFICATION</t>
        </is>
      </c>
    </row>
    <row r="10">
      <c r="A10" s="10" t="inlineStr">
        <is>
          <t>Certification Statement</t>
        </is>
      </c>
      <c r="B10" s="10" t="inlineStr">
        <is>
          <t>Confirmed</t>
        </is>
      </c>
      <c r="C10" s="10" t="inlineStr">
        <is>
          <t>Initials</t>
        </is>
      </c>
      <c r="D10" s="10" t="inlineStr">
        <is>
          <t>Date</t>
        </is>
      </c>
    </row>
    <row r="11">
      <c r="A11" s="5" t="inlineStr">
        <is>
          <t>All jurisdictions have been reconciled</t>
        </is>
      </c>
      <c r="B11" s="12" t="n"/>
      <c r="C11" s="12" t="n"/>
      <c r="D11" s="12" t="n"/>
    </row>
    <row r="12">
      <c r="A12" s="5" t="inlineStr">
        <is>
          <t>All variances are documented and explained</t>
        </is>
      </c>
      <c r="B12" s="12" t="n"/>
      <c r="C12" s="12" t="n"/>
      <c r="D12" s="12" t="n"/>
    </row>
    <row r="13">
      <c r="A13" s="5" t="inlineStr">
        <is>
          <t>Variances within tolerance (or escalated)</t>
        </is>
      </c>
      <c r="B13" s="12" t="n"/>
      <c r="C13" s="12" t="n"/>
      <c r="D13" s="12" t="n"/>
    </row>
    <row r="14">
      <c r="A14" s="5" t="inlineStr">
        <is>
          <t>GIR data matches master GloBE calculation</t>
        </is>
      </c>
      <c r="B14" s="12" t="n"/>
      <c r="C14" s="12" t="n"/>
      <c r="D14" s="12" t="n"/>
    </row>
    <row r="15">
      <c r="A15" s="5" t="inlineStr">
        <is>
          <t>Tax provision aligned with GIR</t>
        </is>
      </c>
      <c r="B15" s="12" t="n"/>
      <c r="C15" s="12" t="n"/>
      <c r="D15" s="12" t="n"/>
    </row>
    <row r="16">
      <c r="A16" s="5" t="inlineStr">
        <is>
          <t>Data sources verified to originating systems</t>
        </is>
      </c>
      <c r="B16" s="12" t="n"/>
      <c r="C16" s="12" t="n"/>
      <c r="D16" s="12" t="n"/>
    </row>
    <row r="17">
      <c r="A17" s="5" t="inlineStr">
        <is>
          <t>Elections consistent with prior filings</t>
        </is>
      </c>
      <c r="B17" s="12" t="n"/>
      <c r="C17" s="12" t="n"/>
      <c r="D17" s="12" t="n"/>
    </row>
    <row r="20">
      <c r="A20" s="2" t="inlineStr">
        <is>
          <t>APPROVALS</t>
        </is>
      </c>
    </row>
    <row r="21">
      <c r="A21" s="10" t="inlineStr">
        <is>
          <t>Role</t>
        </is>
      </c>
      <c r="B21" s="10" t="inlineStr">
        <is>
          <t>Name</t>
        </is>
      </c>
      <c r="C21" s="10" t="inlineStr">
        <is>
          <t>Signature</t>
        </is>
      </c>
      <c r="D21" s="10" t="inlineStr">
        <is>
          <t>Date</t>
        </is>
      </c>
    </row>
    <row r="22">
      <c r="A22" s="5" t="inlineStr">
        <is>
          <t>Preparer</t>
        </is>
      </c>
      <c r="B22" s="12" t="n"/>
      <c r="C22" s="12" t="n"/>
      <c r="D22" s="12" t="n"/>
    </row>
    <row r="23">
      <c r="A23" s="5" t="inlineStr">
        <is>
          <t>Tax Manager</t>
        </is>
      </c>
      <c r="B23" s="12" t="n"/>
      <c r="C23" s="12" t="n"/>
      <c r="D23" s="12" t="n"/>
    </row>
    <row r="24">
      <c r="A24" s="5" t="inlineStr">
        <is>
          <t>Tax Director</t>
        </is>
      </c>
      <c r="B24" s="12" t="n"/>
      <c r="C24" s="12" t="n"/>
      <c r="D24" s="12" t="n"/>
    </row>
    <row r="25">
      <c r="A25" s="5" t="inlineStr">
        <is>
          <t>Finance Director</t>
        </is>
      </c>
      <c r="B25" s="12" t="n"/>
      <c r="C25" s="12" t="n"/>
      <c r="D25" s="12" t="n"/>
    </row>
    <row r="26">
      <c r="A26" s="5" t="inlineStr">
        <is>
          <t>CFO (if required)</t>
        </is>
      </c>
      <c r="B26" s="12" t="n"/>
      <c r="C26" s="12" t="n"/>
      <c r="D26" s="1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2025-12-02T17:20:54Z</dcterms:created>
  <dcterms:modified xsi:type="dcterms:W3CDTF">2025-12-02T17:20:54Z</dcterms:modified>
</cp:coreProperties>
</file>