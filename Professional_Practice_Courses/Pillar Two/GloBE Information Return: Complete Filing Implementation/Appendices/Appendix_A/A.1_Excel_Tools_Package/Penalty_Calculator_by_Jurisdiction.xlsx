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Group_Info" sheetId="2" state="visible" r:id="rId2"/>
    <sheet name="Penalty_Matrix" sheetId="3" state="visible" r:id="rId3"/>
    <sheet name="Late_Filing_Calc" sheetId="4" state="visible" r:id="rId4"/>
    <sheet name="Incorrect_Filing_Calc" sheetId="5" state="visible" r:id="rId5"/>
    <sheet name="Interest_Calculator" sheetId="6" state="visible" r:id="rId6"/>
    <sheet name="Transitional_Relief" sheetId="7" state="visible" r:id="rId7"/>
    <sheet name="Total_Expos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€#,##0"/>
  </numFmts>
  <fonts count="8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2"/>
    </font>
    <font>
      <b val="1"/>
    </font>
    <font>
      <i val="1"/>
      <color rgb="00666666"/>
    </font>
    <font>
      <b val="1"/>
      <color rgb="001F4E79"/>
      <sz val="14"/>
    </font>
    <font>
      <b val="1"/>
      <color rgb="00FFFFFF"/>
      <sz val="11"/>
    </font>
    <font>
      <b val="1"/>
      <color rgb="00C00000"/>
    </font>
  </fonts>
  <fills count="11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  <fill>
      <patternFill patternType="solid">
        <fgColor rgb="0070AD47"/>
        <bgColor rgb="0070AD47"/>
      </patternFill>
    </fill>
    <fill>
      <patternFill patternType="solid">
        <fgColor rgb="00CCCCCC"/>
        <bgColor rgb="00CCCC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0" fillId="4" borderId="0" pivotButton="0" quotePrefix="0" xfId="0"/>
    <xf numFmtId="0" fontId="0" fillId="4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3" fontId="0" fillId="4" borderId="1" pivotButton="0" quotePrefix="0" xfId="0"/>
    <xf numFmtId="0" fontId="3" fillId="0" borderId="1" pivotButton="0" quotePrefix="0" xfId="0"/>
    <xf numFmtId="165" fontId="3" fillId="4" borderId="1" pivotButton="0" quotePrefix="0" xfId="0"/>
    <xf numFmtId="165" fontId="0" fillId="4" borderId="1" pivotButton="0" quotePrefix="0" xfId="0"/>
    <xf numFmtId="0" fontId="7" fillId="0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50" customWidth="1" min="3" max="3"/>
  </cols>
  <sheetData>
    <row r="1">
      <c r="A1" s="1" t="inlineStr">
        <is>
          <t>PENALTY CALCULATOR BY JURISDICTION</t>
        </is>
      </c>
    </row>
    <row r="3">
      <c r="A3" s="2" t="inlineStr">
        <is>
          <t>Purpose</t>
        </is>
      </c>
    </row>
    <row r="4">
      <c r="A4" s="3" t="inlineStr">
        <is>
          <t>This tool estimates penalty exposure for GloBE Information Return (GIR) compliance across 15+ jurisdictions, including late filing penalties, incorrect filing penalties, and interest on late payment.</t>
        </is>
      </c>
    </row>
    <row r="6">
      <c r="A6" s="2" t="inlineStr">
        <is>
          <t>Based On</t>
        </is>
      </c>
    </row>
    <row r="7">
      <c r="A7" t="inlineStr">
        <is>
          <t>• Section 11.3 Penalty Regimes by Jurisdiction</t>
        </is>
      </c>
    </row>
    <row r="8">
      <c r="A8" t="inlineStr">
        <is>
          <t>• OECD Transitional Penalty Relief Framework (FY 2023-2028)</t>
        </is>
      </c>
    </row>
    <row r="9">
      <c r="A9" t="inlineStr">
        <is>
          <t>• National implementing legislation for Pillar Two</t>
        </is>
      </c>
    </row>
    <row r="11">
      <c r="A11" s="2" t="inlineStr">
        <is>
          <t>Worksheet Overview</t>
        </is>
      </c>
    </row>
    <row r="12">
      <c r="A12" s="4" t="inlineStr">
        <is>
          <t>1. Instructions</t>
        </is>
      </c>
      <c r="C12" t="inlineStr">
        <is>
          <t>This overview and guidance</t>
        </is>
      </c>
    </row>
    <row r="13">
      <c r="A13" s="4" t="inlineStr">
        <is>
          <t>2. Group_Info</t>
        </is>
      </c>
      <c r="C13" t="inlineStr">
        <is>
          <t>MNE group details and filing information</t>
        </is>
      </c>
    </row>
    <row r="14">
      <c r="A14" s="4" t="inlineStr">
        <is>
          <t>3. Penalty_Matrix</t>
        </is>
      </c>
      <c r="C14" t="inlineStr">
        <is>
          <t>Full penalty matrix for 15 jurisdictions</t>
        </is>
      </c>
    </row>
    <row r="15">
      <c r="A15" s="4" t="inlineStr">
        <is>
          <t>4. Late_Filing_Calc</t>
        </is>
      </c>
      <c r="C15" t="inlineStr">
        <is>
          <t>Calculate late filing penalty exposure</t>
        </is>
      </c>
    </row>
    <row r="16">
      <c r="A16" s="4" t="inlineStr">
        <is>
          <t>5. Incorrect_Filing_Calc</t>
        </is>
      </c>
      <c r="C16" t="inlineStr">
        <is>
          <t>Calculate incorrect filing penalty exposure</t>
        </is>
      </c>
    </row>
    <row r="17">
      <c r="A17" s="4" t="inlineStr">
        <is>
          <t>6. Interest_Calculator</t>
        </is>
      </c>
      <c r="C17" t="inlineStr">
        <is>
          <t>Calculate interest on late tax payments</t>
        </is>
      </c>
    </row>
    <row r="18">
      <c r="A18" s="4" t="inlineStr">
        <is>
          <t>7. Transitional_Relief</t>
        </is>
      </c>
      <c r="C18" t="inlineStr">
        <is>
          <t>Check transitional relief eligibility</t>
        </is>
      </c>
    </row>
    <row r="19">
      <c r="A19" s="4" t="inlineStr">
        <is>
          <t>8. Total_Exposure</t>
        </is>
      </c>
      <c r="C19" t="inlineStr">
        <is>
          <t>Summary of total penalty exposure</t>
        </is>
      </c>
    </row>
    <row r="22">
      <c r="A22" s="5" t="inlineStr">
        <is>
          <t>Key Warning</t>
        </is>
      </c>
    </row>
    <row r="23">
      <c r="A23" s="6" t="inlineStr">
        <is>
          <t>Transitional relief is CONDITIONAL - it only applies where 'reasonable measures' can be demonstrated.</t>
        </is>
      </c>
    </row>
    <row r="24">
      <c r="A24" s="6" t="inlineStr">
        <is>
          <t>This calculator provides ESTIMATES only. Consult local advisors for jurisdiction-specific guidance.</t>
        </is>
      </c>
    </row>
    <row r="26">
      <c r="A26" s="7" t="inlineStr">
        <is>
          <t>Version: 1.0 | Created: December 2025 | Based on Section 11.3</t>
        </is>
      </c>
    </row>
  </sheetData>
  <mergeCells count="2">
    <mergeCell ref="A4:H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8" t="inlineStr">
        <is>
          <t>MNE GROUP INFORMATION</t>
        </is>
      </c>
    </row>
    <row r="3">
      <c r="A3" s="4" t="inlineStr">
        <is>
          <t>MNE Group Name:</t>
        </is>
      </c>
      <c r="B3" s="9" t="inlineStr"/>
      <c r="C3" s="10" t="n"/>
      <c r="D3" s="11" t="n"/>
    </row>
    <row r="4">
      <c r="A4" s="4" t="inlineStr">
        <is>
          <t>Fiscal Year End:</t>
        </is>
      </c>
      <c r="B4" s="9" t="inlineStr">
        <is>
          <t>31-Dec-2024</t>
        </is>
      </c>
      <c r="C4" s="10" t="n"/>
      <c r="D4" s="11" t="n"/>
    </row>
    <row r="5">
      <c r="A5" s="4" t="inlineStr">
        <is>
          <t>First Year in Scope?:</t>
        </is>
      </c>
      <c r="B5" s="9" t="inlineStr">
        <is>
          <t>Yes</t>
        </is>
      </c>
      <c r="C5" s="10" t="n"/>
      <c r="D5" s="11" t="n"/>
    </row>
    <row r="6">
      <c r="A6" s="4" t="inlineStr">
        <is>
          <t>Primary Filing Jurisdiction:</t>
        </is>
      </c>
      <c r="B6" s="9" t="inlineStr"/>
      <c r="C6" s="10" t="n"/>
      <c r="D6" s="11" t="n"/>
    </row>
    <row r="7">
      <c r="A7" s="4" t="inlineStr">
        <is>
          <t>Number of Filing Jurisdictions:</t>
        </is>
      </c>
      <c r="B7" s="9" t="inlineStr"/>
      <c r="C7" s="10" t="n"/>
      <c r="D7" s="11" t="n"/>
    </row>
    <row r="8">
      <c r="A8" s="4" t="inlineStr">
        <is>
          <t>Has DFE Been Elected?:</t>
        </is>
      </c>
      <c r="B8" s="9" t="inlineStr">
        <is>
          <t>Yes</t>
        </is>
      </c>
      <c r="C8" s="10" t="n"/>
      <c r="D8" s="11" t="n"/>
    </row>
    <row r="9">
      <c r="A9" s="4" t="inlineStr">
        <is>
          <t>Original Filing Deadline:</t>
        </is>
      </c>
      <c r="B9" s="9" t="inlineStr">
        <is>
          <t>30-Jun-2026</t>
        </is>
      </c>
      <c r="C9" s="10" t="n"/>
      <c r="D9" s="11" t="n"/>
    </row>
    <row r="10">
      <c r="A10" s="4" t="inlineStr">
        <is>
          <t>Actual/Expected Filing Date:</t>
        </is>
      </c>
      <c r="B10" s="9" t="inlineStr"/>
      <c r="C10" s="10" t="n"/>
      <c r="D10" s="11" t="n"/>
    </row>
    <row r="11">
      <c r="A11" s="4" t="inlineStr">
        <is>
          <t>Estimated Top-Up Tax Liability (EUR):</t>
        </is>
      </c>
      <c r="B11" s="9" t="inlineStr"/>
      <c r="C11" s="10" t="n"/>
      <c r="D11" s="11" t="n"/>
    </row>
    <row r="14">
      <c r="A14" s="2" t="inlineStr">
        <is>
          <t>DELAY CALCULATION</t>
        </is>
      </c>
    </row>
    <row r="16">
      <c r="A16" t="inlineStr">
        <is>
          <t>Filing Deadline:</t>
        </is>
      </c>
      <c r="B16" s="12">
        <f>B9</f>
        <v/>
      </c>
    </row>
    <row r="17">
      <c r="A17" t="inlineStr">
        <is>
          <t>Expected Filing Date:</t>
        </is>
      </c>
      <c r="B17" s="12">
        <f>B10</f>
        <v/>
      </c>
    </row>
    <row r="18">
      <c r="A18" t="inlineStr">
        <is>
          <t>Days Late:</t>
        </is>
      </c>
      <c r="B18" s="13">
        <f>IF(AND(ISNUMBER(B9),ISNUMBER(B10)),MAX(0,B10-B9),0)</f>
        <v/>
      </c>
    </row>
    <row r="19">
      <c r="A19" t="inlineStr">
        <is>
          <t>Months Late:</t>
        </is>
      </c>
      <c r="B19" s="13">
        <f>ROUNDUP(B18/30,0)</f>
        <v/>
      </c>
    </row>
    <row r="20">
      <c r="A20" t="inlineStr">
        <is>
          <t>Delay Category:</t>
        </is>
      </c>
      <c r="B20" s="13">
        <f>IF(B18=0,"On Time",IF(B18&lt;=30,"1-30 days",IF(B18&lt;=90,"1-3 months",IF(B18&lt;=180,"3-6 months",IF(B18&lt;=365,"6-12 months","Over 12 months")))))</f>
        <v/>
      </c>
    </row>
  </sheetData>
  <mergeCells count="10">
    <mergeCell ref="B10:D10"/>
    <mergeCell ref="A1:D1"/>
    <mergeCell ref="B11:D11"/>
    <mergeCell ref="B3:D3"/>
    <mergeCell ref="B5:D5"/>
    <mergeCell ref="B8:D8"/>
    <mergeCell ref="B4:D4"/>
    <mergeCell ref="B9:D9"/>
    <mergeCell ref="B7:D7"/>
    <mergeCell ref="B6:D6"/>
  </mergeCells>
  <dataValidations count="1">
    <dataValidation sqref="B5 B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5" customWidth="1" min="4" max="4"/>
    <col width="18" customWidth="1" min="5" max="5"/>
    <col width="15" customWidth="1" min="6" max="6"/>
    <col width="14" customWidth="1" min="7" max="7"/>
  </cols>
  <sheetData>
    <row r="1">
      <c r="A1" s="8" t="inlineStr">
        <is>
          <t>PENALTY SUMMARY MATRIX - 15 JURISDICTIONS</t>
        </is>
      </c>
    </row>
    <row r="2">
      <c r="A2" s="7" t="inlineStr">
        <is>
          <t>Reference: Section 11.3 Penalty Regimes by Jurisdiction</t>
        </is>
      </c>
    </row>
    <row r="4">
      <c r="A4" s="14" t="inlineStr">
        <is>
          <t>Jurisdiction</t>
        </is>
      </c>
      <c r="B4" s="14" t="inlineStr">
        <is>
          <t>Late Filing Penalty</t>
        </is>
      </c>
      <c r="C4" s="14" t="inlineStr">
        <is>
          <t>Incorrect Filing</t>
        </is>
      </c>
      <c r="D4" s="14" t="inlineStr">
        <is>
          <t>Failure to Register/DFE</t>
        </is>
      </c>
      <c r="E4" s="14" t="inlineStr">
        <is>
          <t>Transitional Relief?</t>
        </is>
      </c>
      <c r="F4" s="14" t="inlineStr">
        <is>
          <t>Interest Rate p.a.</t>
        </is>
      </c>
      <c r="G4" s="14" t="inlineStr">
        <is>
          <t>Risk Level</t>
        </is>
      </c>
    </row>
    <row r="5">
      <c r="A5" s="15" t="inlineStr">
        <is>
          <t>United Kingdom</t>
        </is>
      </c>
      <c r="B5" s="15" t="inlineStr">
        <is>
          <t>Escalating penalties</t>
        </is>
      </c>
      <c r="C5" s="15" t="inlineStr">
        <is>
          <t>0-100% of tax</t>
        </is>
      </c>
      <c r="D5" s="15" t="inlineStr">
        <is>
          <t>Sch 41 FA 2008 penalty</t>
        </is>
      </c>
      <c r="E5" s="15" t="inlineStr">
        <is>
          <t>Yes</t>
        </is>
      </c>
      <c r="F5" s="15" t="inlineStr">
        <is>
          <t>7.5%</t>
        </is>
      </c>
      <c r="G5" s="16" t="inlineStr">
        <is>
          <t>Medium-High</t>
        </is>
      </c>
    </row>
    <row r="6">
      <c r="A6" s="15" t="inlineStr">
        <is>
          <t>Germany</t>
        </is>
      </c>
      <c r="B6" s="15" t="inlineStr">
        <is>
          <t>Up to €30,000</t>
        </is>
      </c>
      <c r="C6" s="15" t="inlineStr">
        <is>
          <t>Up to €30,000</t>
        </is>
      </c>
      <c r="D6" s="15" t="inlineStr">
        <is>
          <t>Administrative fine</t>
        </is>
      </c>
      <c r="E6" s="15" t="inlineStr">
        <is>
          <t>Yes</t>
        </is>
      </c>
      <c r="F6" s="15" t="inlineStr">
        <is>
          <t>6.0%</t>
        </is>
      </c>
      <c r="G6" s="17" t="inlineStr">
        <is>
          <t>Medium</t>
        </is>
      </c>
    </row>
    <row r="7">
      <c r="A7" s="15" t="inlineStr">
        <is>
          <t>France</t>
        </is>
      </c>
      <c r="B7" s="15" t="inlineStr">
        <is>
          <t>€100,000</t>
        </is>
      </c>
      <c r="C7" s="15" t="inlineStr">
        <is>
          <t>Up to €50,000 (€1M cap)</t>
        </is>
      </c>
      <c r="D7" s="15" t="inlineStr">
        <is>
          <t>€100,000</t>
        </is>
      </c>
      <c r="E7" s="15" t="inlineStr">
        <is>
          <t>Yes</t>
        </is>
      </c>
      <c r="F7" s="15" t="inlineStr">
        <is>
          <t>2.4%</t>
        </is>
      </c>
      <c r="G7" s="18" t="inlineStr">
        <is>
          <t>High</t>
        </is>
      </c>
    </row>
    <row r="8">
      <c r="A8" s="15" t="inlineStr">
        <is>
          <t>Ireland</t>
        </is>
      </c>
      <c r="B8" s="15" t="inlineStr">
        <is>
          <t>€10,000/month (€480K max)</t>
        </is>
      </c>
      <c r="C8" s="15" t="inlineStr">
        <is>
          <t>€10,000/month</t>
        </is>
      </c>
      <c r="D8" s="15" t="inlineStr">
        <is>
          <t>€10,000</t>
        </is>
      </c>
      <c r="E8" s="15" t="inlineStr">
        <is>
          <t>Yes</t>
        </is>
      </c>
      <c r="F8" s="15" t="inlineStr">
        <is>
          <t>8.0%</t>
        </is>
      </c>
      <c r="G8" s="18" t="inlineStr">
        <is>
          <t>High</t>
        </is>
      </c>
    </row>
    <row r="9">
      <c r="A9" s="15" t="inlineStr">
        <is>
          <t>Netherlands</t>
        </is>
      </c>
      <c r="B9" s="15" t="inlineStr">
        <is>
          <t>€469-€6,709</t>
        </is>
      </c>
      <c r="C9" s="15" t="inlineStr">
        <is>
          <t>vergrijpboete</t>
        </is>
      </c>
      <c r="D9" s="15" t="inlineStr">
        <is>
          <t>verzuimboete</t>
        </is>
      </c>
      <c r="E9" s="15" t="inlineStr">
        <is>
          <t>Yes</t>
        </is>
      </c>
      <c r="F9" s="15" t="inlineStr">
        <is>
          <t>4.0%</t>
        </is>
      </c>
      <c r="G9" s="17" t="inlineStr">
        <is>
          <t>Medium</t>
        </is>
      </c>
    </row>
    <row r="10">
      <c r="A10" s="15" t="inlineStr">
        <is>
          <t>Luxembourg</t>
        </is>
      </c>
      <c r="B10" s="15" t="inlineStr">
        <is>
          <t>Up to €250,000</t>
        </is>
      </c>
      <c r="C10" s="15" t="inlineStr">
        <is>
          <t>Up to €250,000</t>
        </is>
      </c>
      <c r="D10" s="15" t="inlineStr">
        <is>
          <t>Up to €300,000</t>
        </is>
      </c>
      <c r="E10" s="15" t="inlineStr">
        <is>
          <t>Yes</t>
        </is>
      </c>
      <c r="F10" s="15" t="inlineStr">
        <is>
          <t>7.2%</t>
        </is>
      </c>
      <c r="G10" s="18" t="inlineStr">
        <is>
          <t>High</t>
        </is>
      </c>
    </row>
    <row r="11">
      <c r="A11" s="15" t="inlineStr">
        <is>
          <t>Australia</t>
        </is>
      </c>
      <c r="B11" s="15" t="inlineStr">
        <is>
          <t>FTL × 500 multiplier</t>
        </is>
      </c>
      <c r="C11" s="15" t="inlineStr">
        <is>
          <t>25-75% of shortfall</t>
        </is>
      </c>
      <c r="D11" s="15" t="inlineStr">
        <is>
          <t>FTL per entity</t>
        </is>
      </c>
      <c r="E11" s="15" t="inlineStr">
        <is>
          <t>Yes</t>
        </is>
      </c>
      <c r="F11" s="15" t="inlineStr">
        <is>
          <t>11.0%</t>
        </is>
      </c>
      <c r="G11" s="16" t="inlineStr">
        <is>
          <t>Medium-High</t>
        </is>
      </c>
    </row>
    <row r="12">
      <c r="A12" s="15" t="inlineStr">
        <is>
          <t>Switzerland</t>
        </is>
      </c>
      <c r="B12" s="15" t="inlineStr">
        <is>
          <t>CIT penalties apply</t>
        </is>
      </c>
      <c r="C12" s="15" t="inlineStr">
        <is>
          <t>CIT penalties</t>
        </is>
      </c>
      <c r="D12" s="15" t="inlineStr">
        <is>
          <t>CIT penalties</t>
        </is>
      </c>
      <c r="E12" s="15" t="inlineStr">
        <is>
          <t>Yes</t>
        </is>
      </c>
      <c r="F12" s="15" t="inlineStr">
        <is>
          <t>4.5%</t>
        </is>
      </c>
      <c r="G12" s="19" t="inlineStr">
        <is>
          <t>Lower</t>
        </is>
      </c>
    </row>
    <row r="13">
      <c r="A13" s="15" t="inlineStr">
        <is>
          <t>Japan</t>
        </is>
      </c>
      <c r="B13" s="15" t="inlineStr">
        <is>
          <t>10-20% additional tax</t>
        </is>
      </c>
      <c r="C13" s="15" t="inlineStr">
        <is>
          <t>10-40% additional tax</t>
        </is>
      </c>
      <c r="D13" s="15" t="inlineStr">
        <is>
          <t>National tax penalties</t>
        </is>
      </c>
      <c r="E13" s="15" t="inlineStr">
        <is>
          <t>Yes</t>
        </is>
      </c>
      <c r="F13" s="15" t="inlineStr">
        <is>
          <t>14.6%</t>
        </is>
      </c>
      <c r="G13" s="19" t="inlineStr">
        <is>
          <t>Lower</t>
        </is>
      </c>
    </row>
    <row r="14">
      <c r="A14" s="15" t="inlineStr">
        <is>
          <t>Singapore</t>
        </is>
      </c>
      <c r="B14" s="15" t="inlineStr">
        <is>
          <t>TBD</t>
        </is>
      </c>
      <c r="C14" s="15" t="inlineStr">
        <is>
          <t>TBD</t>
        </is>
      </c>
      <c r="D14" s="15" t="inlineStr">
        <is>
          <t>TBD</t>
        </is>
      </c>
      <c r="E14" s="15" t="inlineStr">
        <is>
          <t>Expected</t>
        </is>
      </c>
      <c r="F14" s="15" t="inlineStr">
        <is>
          <t>TBD</t>
        </is>
      </c>
      <c r="G14" s="20" t="inlineStr">
        <is>
          <t>TBD</t>
        </is>
      </c>
    </row>
    <row r="15">
      <c r="A15" s="15" t="inlineStr">
        <is>
          <t>Belgium</t>
        </is>
      </c>
      <c r="B15" s="15" t="inlineStr">
        <is>
          <t>Up to €250,000</t>
        </is>
      </c>
      <c r="C15" s="15" t="inlineStr">
        <is>
          <t>Up to €250,000</t>
        </is>
      </c>
      <c r="D15" s="15" t="inlineStr">
        <is>
          <t>Registration penalty</t>
        </is>
      </c>
      <c r="E15" s="15" t="inlineStr">
        <is>
          <t>Yes</t>
        </is>
      </c>
      <c r="F15" s="15" t="inlineStr">
        <is>
          <t>Variable</t>
        </is>
      </c>
      <c r="G15" s="17" t="inlineStr">
        <is>
          <t>Medium</t>
        </is>
      </c>
    </row>
    <row r="16">
      <c r="A16" s="15" t="inlineStr">
        <is>
          <t>Italy</t>
        </is>
      </c>
      <c r="B16" s="15" t="inlineStr">
        <is>
          <t>90-180% of tax</t>
        </is>
      </c>
      <c r="C16" s="15" t="inlineStr">
        <is>
          <t>90-180% of tax</t>
        </is>
      </c>
      <c r="D16" s="15" t="inlineStr">
        <is>
          <t>Registration penalty</t>
        </is>
      </c>
      <c r="E16" s="15" t="inlineStr">
        <is>
          <t>Yes</t>
        </is>
      </c>
      <c r="F16" s="15" t="inlineStr">
        <is>
          <t>Variable</t>
        </is>
      </c>
      <c r="G16" s="16" t="inlineStr">
        <is>
          <t>Medium-High</t>
        </is>
      </c>
    </row>
    <row r="17">
      <c r="A17" s="15" t="inlineStr">
        <is>
          <t>Spain</t>
        </is>
      </c>
      <c r="B17" s="15" t="inlineStr">
        <is>
          <t>€200-€20,000</t>
        </is>
      </c>
      <c r="C17" s="15" t="inlineStr">
        <is>
          <t>€200-€20,000</t>
        </is>
      </c>
      <c r="D17" s="15" t="inlineStr">
        <is>
          <t>Registration penalty</t>
        </is>
      </c>
      <c r="E17" s="15" t="inlineStr">
        <is>
          <t>Yes</t>
        </is>
      </c>
      <c r="F17" s="15" t="inlineStr">
        <is>
          <t>4.5%</t>
        </is>
      </c>
      <c r="G17" s="17" t="inlineStr">
        <is>
          <t>Medium</t>
        </is>
      </c>
    </row>
    <row r="18">
      <c r="A18" s="15" t="inlineStr">
        <is>
          <t>Sweden</t>
        </is>
      </c>
      <c r="B18" s="15" t="inlineStr">
        <is>
          <t>Tax surcharge</t>
        </is>
      </c>
      <c r="C18" s="15" t="inlineStr">
        <is>
          <t>Tax surcharge</t>
        </is>
      </c>
      <c r="D18" s="15" t="inlineStr">
        <is>
          <t>Administrative penalty</t>
        </is>
      </c>
      <c r="E18" s="15" t="inlineStr">
        <is>
          <t>Yes</t>
        </is>
      </c>
      <c r="F18" s="15" t="inlineStr">
        <is>
          <t>Variable</t>
        </is>
      </c>
      <c r="G18" s="17" t="inlineStr">
        <is>
          <t>Medium</t>
        </is>
      </c>
    </row>
    <row r="19">
      <c r="A19" s="15" t="inlineStr">
        <is>
          <t>South Korea</t>
        </is>
      </c>
      <c r="B19" s="15" t="inlineStr">
        <is>
          <t>10-40% additional tax</t>
        </is>
      </c>
      <c r="C19" s="15" t="inlineStr">
        <is>
          <t>10-40% additional tax</t>
        </is>
      </c>
      <c r="D19" s="15" t="inlineStr">
        <is>
          <t>National tax penalties</t>
        </is>
      </c>
      <c r="E19" s="15" t="inlineStr">
        <is>
          <t>Yes</t>
        </is>
      </c>
      <c r="F19" s="15" t="inlineStr">
        <is>
          <t>Variable</t>
        </is>
      </c>
      <c r="G19" s="19" t="inlineStr">
        <is>
          <t>Lower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8" t="inlineStr">
        <is>
          <t>LATE FILING PENALTY CALCULATOR</t>
        </is>
      </c>
    </row>
    <row r="3">
      <c r="A3" s="14" t="inlineStr">
        <is>
          <t>Jurisdiction</t>
        </is>
      </c>
      <c r="B3" s="14" t="inlineStr">
        <is>
          <t>Filing Required?</t>
        </is>
      </c>
      <c r="C3" s="14" t="inlineStr">
        <is>
          <t>Days Late</t>
        </is>
      </c>
      <c r="D3" s="14" t="inlineStr">
        <is>
          <t>Base Penalty (EUR)</t>
        </is>
      </c>
      <c r="E3" s="14" t="inlineStr">
        <is>
          <t>Escalation</t>
        </is>
      </c>
      <c r="F3" s="14" t="inlineStr">
        <is>
          <t>Total Penalty (EUR)</t>
        </is>
      </c>
      <c r="G3" s="14" t="inlineStr">
        <is>
          <t>Notes</t>
        </is>
      </c>
    </row>
    <row r="4">
      <c r="A4" s="15" t="inlineStr">
        <is>
          <t>United Kingdom</t>
        </is>
      </c>
      <c r="B4" s="9" t="n"/>
      <c r="C4" s="9" t="n"/>
      <c r="D4" s="15" t="inlineStr">
        <is>
          <t>100</t>
        </is>
      </c>
      <c r="E4" s="15" t="inlineStr">
        <is>
          <t>Escalating</t>
        </is>
      </c>
      <c r="F4" s="21">
        <f>IF(B4="Yes",IF(ISNUMBER(D4),D4*ROUNDUP(C4/30,0),0),0)</f>
        <v/>
      </c>
      <c r="G4" s="9" t="n"/>
    </row>
    <row r="5">
      <c r="A5" s="15" t="inlineStr">
        <is>
          <t>Germany</t>
        </is>
      </c>
      <c r="B5" s="9" t="n"/>
      <c r="C5" s="9" t="n"/>
      <c r="D5" s="15" t="inlineStr">
        <is>
          <t>30000</t>
        </is>
      </c>
      <c r="E5" s="15" t="inlineStr">
        <is>
          <t>Fixed max</t>
        </is>
      </c>
      <c r="F5" s="21">
        <f>IF(B5="Yes",IF(ISNUMBER(D5),D5*ROUNDUP(C5/30,0),0),0)</f>
        <v/>
      </c>
      <c r="G5" s="9" t="n"/>
    </row>
    <row r="6">
      <c r="A6" s="15" t="inlineStr">
        <is>
          <t>France</t>
        </is>
      </c>
      <c r="B6" s="9" t="n"/>
      <c r="C6" s="9" t="n"/>
      <c r="D6" s="15" t="inlineStr">
        <is>
          <t>100000</t>
        </is>
      </c>
      <c r="E6" s="15" t="inlineStr">
        <is>
          <t>Fixed</t>
        </is>
      </c>
      <c r="F6" s="21">
        <f>IF(B6="Yes",IF(ISNUMBER(D6),D6*ROUNDUP(C6/30,0),0),0)</f>
        <v/>
      </c>
      <c r="G6" s="9" t="n"/>
    </row>
    <row r="7">
      <c r="A7" s="15" t="inlineStr">
        <is>
          <t>Ireland</t>
        </is>
      </c>
      <c r="B7" s="9" t="n"/>
      <c r="C7" s="9" t="n"/>
      <c r="D7" s="15" t="inlineStr">
        <is>
          <t>10000</t>
        </is>
      </c>
      <c r="E7" s="15" t="inlineStr">
        <is>
          <t>Per month</t>
        </is>
      </c>
      <c r="F7" s="21">
        <f>IF(B7="Yes",IF(ISNUMBER(D7),D7*ROUNDUP(C7/30,0),0),0)</f>
        <v/>
      </c>
      <c r="G7" s="9" t="n"/>
    </row>
    <row r="8">
      <c r="A8" s="15" t="inlineStr">
        <is>
          <t>Netherlands</t>
        </is>
      </c>
      <c r="B8" s="9" t="n"/>
      <c r="C8" s="9" t="n"/>
      <c r="D8" s="15" t="inlineStr">
        <is>
          <t>469</t>
        </is>
      </c>
      <c r="E8" s="15" t="inlineStr">
        <is>
          <t>Initial</t>
        </is>
      </c>
      <c r="F8" s="21">
        <f>IF(B8="Yes",IF(ISNUMBER(D8),D8*ROUNDUP(C8/30,0),0),0)</f>
        <v/>
      </c>
      <c r="G8" s="9" t="n"/>
    </row>
    <row r="9">
      <c r="A9" s="15" t="inlineStr">
        <is>
          <t>Luxembourg</t>
        </is>
      </c>
      <c r="B9" s="9" t="n"/>
      <c r="C9" s="9" t="n"/>
      <c r="D9" s="15" t="inlineStr">
        <is>
          <t>250000</t>
        </is>
      </c>
      <c r="E9" s="15" t="inlineStr">
        <is>
          <t>Max</t>
        </is>
      </c>
      <c r="F9" s="21">
        <f>IF(B9="Yes",IF(ISNUMBER(D9),D9*ROUNDUP(C9/30,0),0),0)</f>
        <v/>
      </c>
      <c r="G9" s="9" t="n"/>
    </row>
    <row r="10">
      <c r="A10" s="15" t="inlineStr">
        <is>
          <t>Australia</t>
        </is>
      </c>
      <c r="B10" s="9" t="n"/>
      <c r="C10" s="9" t="n"/>
      <c r="D10" s="15" t="inlineStr">
        <is>
          <t>1000</t>
        </is>
      </c>
      <c r="E10" s="15" t="inlineStr">
        <is>
          <t>× 500 SGE</t>
        </is>
      </c>
      <c r="F10" s="21">
        <f>IF(B10="Yes",IF(ISNUMBER(D10),D10*ROUNDUP(C10/30,0),0),0)</f>
        <v/>
      </c>
      <c r="G10" s="9" t="n"/>
    </row>
    <row r="11">
      <c r="A11" s="15" t="inlineStr">
        <is>
          <t>Switzerland</t>
        </is>
      </c>
      <c r="B11" s="9" t="n"/>
      <c r="C11" s="9" t="n"/>
      <c r="D11" s="15" t="inlineStr">
        <is>
          <t>5000</t>
        </is>
      </c>
      <c r="E11" s="15" t="inlineStr">
        <is>
          <t>CIT basis</t>
        </is>
      </c>
      <c r="F11" s="21">
        <f>IF(B11="Yes",IF(ISNUMBER(D11),D11*ROUNDUP(C11/30,0),0),0)</f>
        <v/>
      </c>
      <c r="G11" s="9" t="n"/>
    </row>
    <row r="12">
      <c r="A12" s="15" t="inlineStr">
        <is>
          <t>Japan</t>
        </is>
      </c>
      <c r="B12" s="9" t="n"/>
      <c r="C12" s="9" t="n"/>
      <c r="D12" s="15" t="inlineStr">
        <is>
          <t>10%</t>
        </is>
      </c>
      <c r="E12" s="15" t="inlineStr">
        <is>
          <t>Of tax</t>
        </is>
      </c>
      <c r="F12" s="21">
        <f>IF(B12="Yes",IF(ISNUMBER(D12),D12*ROUNDUP(C12/30,0),0),0)</f>
        <v/>
      </c>
      <c r="G12" s="9" t="n"/>
    </row>
    <row r="13">
      <c r="A13" s="15" t="inlineStr">
        <is>
          <t>Singapore</t>
        </is>
      </c>
      <c r="B13" s="9" t="n"/>
      <c r="C13" s="9" t="n"/>
      <c r="D13" s="15" t="inlineStr">
        <is>
          <t>TBD</t>
        </is>
      </c>
      <c r="E13" s="15" t="inlineStr">
        <is>
          <t>TBD</t>
        </is>
      </c>
      <c r="F13" s="21">
        <f>IF(B13="Yes",IF(ISNUMBER(D13),D13*ROUNDUP(C13/30,0),0),0)</f>
        <v/>
      </c>
      <c r="G13" s="9" t="n"/>
    </row>
    <row r="14">
      <c r="A14" s="15" t="inlineStr">
        <is>
          <t>Belgium</t>
        </is>
      </c>
      <c r="B14" s="9" t="n"/>
      <c r="C14" s="9" t="n"/>
      <c r="D14" s="15" t="inlineStr">
        <is>
          <t>250000</t>
        </is>
      </c>
      <c r="E14" s="15" t="inlineStr">
        <is>
          <t>Max</t>
        </is>
      </c>
      <c r="F14" s="21">
        <f>IF(B14="Yes",IF(ISNUMBER(D14),D14*ROUNDUP(C14/30,0),0),0)</f>
        <v/>
      </c>
      <c r="G14" s="9" t="n"/>
    </row>
    <row r="15">
      <c r="A15" s="15" t="inlineStr">
        <is>
          <t>Italy</t>
        </is>
      </c>
      <c r="B15" s="9" t="n"/>
      <c r="C15" s="9" t="n"/>
      <c r="D15" s="15" t="inlineStr">
        <is>
          <t>90%</t>
        </is>
      </c>
      <c r="E15" s="15" t="inlineStr">
        <is>
          <t>Of tax</t>
        </is>
      </c>
      <c r="F15" s="21">
        <f>IF(B15="Yes",IF(ISNUMBER(D15),D15*ROUNDUP(C15/30,0),0),0)</f>
        <v/>
      </c>
      <c r="G15" s="9" t="n"/>
    </row>
    <row r="16">
      <c r="A16" s="15" t="inlineStr">
        <is>
          <t>Spain</t>
        </is>
      </c>
      <c r="B16" s="9" t="n"/>
      <c r="C16" s="9" t="n"/>
      <c r="D16" s="15" t="inlineStr">
        <is>
          <t>20000</t>
        </is>
      </c>
      <c r="E16" s="15" t="inlineStr">
        <is>
          <t>Max</t>
        </is>
      </c>
      <c r="F16" s="21">
        <f>IF(B16="Yes",IF(ISNUMBER(D16),D16*ROUNDUP(C16/30,0),0),0)</f>
        <v/>
      </c>
      <c r="G16" s="9" t="n"/>
    </row>
    <row r="17">
      <c r="A17" s="15" t="inlineStr">
        <is>
          <t>Sweden</t>
        </is>
      </c>
      <c r="B17" s="9" t="n"/>
      <c r="C17" s="9" t="n"/>
      <c r="D17" s="15" t="inlineStr">
        <is>
          <t>10%</t>
        </is>
      </c>
      <c r="E17" s="15" t="inlineStr">
        <is>
          <t>Surcharge</t>
        </is>
      </c>
      <c r="F17" s="21">
        <f>IF(B17="Yes",IF(ISNUMBER(D17),D17*ROUNDUP(C17/30,0),0),0)</f>
        <v/>
      </c>
      <c r="G17" s="9" t="n"/>
    </row>
    <row r="18">
      <c r="A18" s="15" t="inlineStr">
        <is>
          <t>South Korea</t>
        </is>
      </c>
      <c r="B18" s="9" t="n"/>
      <c r="C18" s="9" t="n"/>
      <c r="D18" s="15" t="inlineStr">
        <is>
          <t>10%</t>
        </is>
      </c>
      <c r="E18" s="15" t="inlineStr">
        <is>
          <t>Of tax</t>
        </is>
      </c>
      <c r="F18" s="21">
        <f>IF(B18="Yes",IF(ISNUMBER(D18),D18*ROUNDUP(C18/30,0),0),0)</f>
        <v/>
      </c>
      <c r="G18" s="9" t="n"/>
    </row>
    <row r="19">
      <c r="A19" s="22" t="inlineStr">
        <is>
          <t>TOTAL LATE FILING EXPOSURE</t>
        </is>
      </c>
      <c r="B19" s="15" t="n"/>
      <c r="C19" s="15" t="n"/>
      <c r="D19" s="15" t="n"/>
      <c r="E19" s="15" t="n"/>
      <c r="F19" s="23">
        <f>SUM(F4:F18)</f>
        <v/>
      </c>
      <c r="G19" s="15" t="n"/>
    </row>
    <row r="22">
      <c r="A22" s="7" t="inlineStr">
        <is>
          <t>Note: Actual penalties vary by jurisdiction-specific rules. This provides indicative exposure only.</t>
        </is>
      </c>
    </row>
  </sheetData>
  <mergeCells count="1">
    <mergeCell ref="A1:G1"/>
  </mergeCells>
  <dataValidations count="1">
    <dataValidation sqref="B4 B5 B6 B7 B8 B9 B10 B11 B12 B13 B14 B15 B16 B17 B18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INCORRECT FILING PENALTY CALCULATOR</t>
        </is>
      </c>
    </row>
    <row r="2">
      <c r="A2" s="2" t="inlineStr">
        <is>
          <t>UK Inaccuracy Penalty Framework (Schedule 24 FA 2007)</t>
        </is>
      </c>
    </row>
    <row r="4">
      <c r="A4" s="14" t="inlineStr">
        <is>
          <t>Behaviour</t>
        </is>
      </c>
      <c r="B4" s="14" t="inlineStr">
        <is>
          <t>Unprompted Disclosure</t>
        </is>
      </c>
      <c r="C4" s="14" t="inlineStr">
        <is>
          <t>Prompted Disclosure</t>
        </is>
      </c>
    </row>
    <row r="5">
      <c r="A5" s="15" t="inlineStr">
        <is>
          <t>Reasonable care taken</t>
        </is>
      </c>
      <c r="B5" s="15" t="inlineStr">
        <is>
          <t>0%</t>
        </is>
      </c>
      <c r="C5" s="15" t="inlineStr">
        <is>
          <t>0%</t>
        </is>
      </c>
    </row>
    <row r="6">
      <c r="A6" s="15" t="inlineStr">
        <is>
          <t>Careless</t>
        </is>
      </c>
      <c r="B6" s="15" t="inlineStr">
        <is>
          <t>0-30%</t>
        </is>
      </c>
      <c r="C6" s="15" t="inlineStr">
        <is>
          <t>15-30%</t>
        </is>
      </c>
    </row>
    <row r="7">
      <c r="A7" s="15" t="inlineStr">
        <is>
          <t>Deliberate</t>
        </is>
      </c>
      <c r="B7" s="15" t="inlineStr">
        <is>
          <t>20-70%</t>
        </is>
      </c>
      <c r="C7" s="15" t="inlineStr">
        <is>
          <t>35-70%</t>
        </is>
      </c>
    </row>
    <row r="8">
      <c r="A8" s="15" t="inlineStr">
        <is>
          <t>Deliberate and concealed</t>
        </is>
      </c>
      <c r="B8" s="15" t="inlineStr">
        <is>
          <t>30-100%</t>
        </is>
      </c>
      <c r="C8" s="15" t="inlineStr">
        <is>
          <t>50-100%</t>
        </is>
      </c>
    </row>
    <row r="11">
      <c r="A11" s="2" t="inlineStr">
        <is>
          <t>INCORRECT FILING PENALTY CALCULATOR</t>
        </is>
      </c>
    </row>
    <row r="13">
      <c r="A13" s="14" t="inlineStr">
        <is>
          <t>Jurisdiction</t>
        </is>
      </c>
      <c r="B13" s="14" t="inlineStr">
        <is>
          <t>Error Amount (EUR)</t>
        </is>
      </c>
      <c r="C13" s="14" t="inlineStr">
        <is>
          <t>Behaviour</t>
        </is>
      </c>
      <c r="D13" s="14" t="inlineStr">
        <is>
          <t>Disclosure Type</t>
        </is>
      </c>
      <c r="E13" s="14" t="inlineStr">
        <is>
          <t>Penalty Rate</t>
        </is>
      </c>
      <c r="F13" s="14" t="inlineStr">
        <is>
          <t>Penalty Amount (EUR)</t>
        </is>
      </c>
    </row>
    <row r="14">
      <c r="A14" s="15" t="inlineStr">
        <is>
          <t>United Kingdom</t>
        </is>
      </c>
      <c r="B14" s="9" t="n"/>
      <c r="C14" s="9" t="n"/>
      <c r="D14" s="9" t="n"/>
      <c r="E14" s="9" t="n"/>
      <c r="F14" s="21">
        <f>IF(ISNUMBER(B14),B14*VALUE(SUBSTITUTE(E14,"%",""))/100,0)</f>
        <v/>
      </c>
    </row>
    <row r="15">
      <c r="A15" s="15" t="inlineStr">
        <is>
          <t>Germany</t>
        </is>
      </c>
      <c r="B15" s="9" t="n"/>
      <c r="C15" s="9" t="n"/>
      <c r="D15" s="9" t="n"/>
      <c r="E15" s="9" t="n"/>
      <c r="F15" s="21">
        <f>IF(ISNUMBER(B15),B15*VALUE(SUBSTITUTE(E15,"%",""))/100,0)</f>
        <v/>
      </c>
    </row>
    <row r="16">
      <c r="A16" s="15" t="inlineStr">
        <is>
          <t>France</t>
        </is>
      </c>
      <c r="B16" s="9" t="n"/>
      <c r="C16" s="9" t="n"/>
      <c r="D16" s="9" t="n"/>
      <c r="E16" s="9" t="n"/>
      <c r="F16" s="21">
        <f>IF(ISNUMBER(B16),B16*VALUE(SUBSTITUTE(E16,"%",""))/100,0)</f>
        <v/>
      </c>
    </row>
    <row r="17">
      <c r="A17" s="15" t="inlineStr">
        <is>
          <t>Ireland</t>
        </is>
      </c>
      <c r="B17" s="9" t="n"/>
      <c r="C17" s="9" t="n"/>
      <c r="D17" s="9" t="n"/>
      <c r="E17" s="9" t="n"/>
      <c r="F17" s="21">
        <f>IF(ISNUMBER(B17),B17*VALUE(SUBSTITUTE(E17,"%",""))/100,0)</f>
        <v/>
      </c>
    </row>
    <row r="18">
      <c r="A18" s="15" t="inlineStr">
        <is>
          <t>Netherlands</t>
        </is>
      </c>
      <c r="B18" s="9" t="n"/>
      <c r="C18" s="9" t="n"/>
      <c r="D18" s="9" t="n"/>
      <c r="E18" s="9" t="n"/>
      <c r="F18" s="21">
        <f>IF(ISNUMBER(B18),B18*VALUE(SUBSTITUTE(E18,"%",""))/100,0)</f>
        <v/>
      </c>
    </row>
    <row r="19">
      <c r="A19" s="15" t="inlineStr">
        <is>
          <t>Luxembourg</t>
        </is>
      </c>
      <c r="B19" s="9" t="n"/>
      <c r="C19" s="9" t="n"/>
      <c r="D19" s="9" t="n"/>
      <c r="E19" s="9" t="n"/>
      <c r="F19" s="21">
        <f>IF(ISNUMBER(B19),B19*VALUE(SUBSTITUTE(E19,"%",""))/100,0)</f>
        <v/>
      </c>
    </row>
    <row r="20">
      <c r="A20" s="15" t="inlineStr">
        <is>
          <t>Australia</t>
        </is>
      </c>
      <c r="B20" s="9" t="n"/>
      <c r="C20" s="9" t="n"/>
      <c r="D20" s="9" t="n"/>
      <c r="E20" s="9" t="n"/>
      <c r="F20" s="21">
        <f>IF(ISNUMBER(B20),B20*VALUE(SUBSTITUTE(E20,"%",""))/100,0)</f>
        <v/>
      </c>
    </row>
    <row r="21">
      <c r="A21" s="15" t="inlineStr">
        <is>
          <t>Switzerland</t>
        </is>
      </c>
      <c r="B21" s="9" t="n"/>
      <c r="C21" s="9" t="n"/>
      <c r="D21" s="9" t="n"/>
      <c r="E21" s="9" t="n"/>
      <c r="F21" s="21">
        <f>IF(ISNUMBER(B21),B21*VALUE(SUBSTITUTE(E21,"%",""))/100,0)</f>
        <v/>
      </c>
    </row>
    <row r="22">
      <c r="A22" s="15" t="inlineStr">
        <is>
          <t>Japan</t>
        </is>
      </c>
      <c r="B22" s="9" t="n"/>
      <c r="C22" s="9" t="n"/>
      <c r="D22" s="9" t="n"/>
      <c r="E22" s="9" t="n"/>
      <c r="F22" s="21">
        <f>IF(ISNUMBER(B22),B22*VALUE(SUBSTITUTE(E22,"%",""))/100,0)</f>
        <v/>
      </c>
    </row>
    <row r="23">
      <c r="A23" s="15" t="inlineStr">
        <is>
          <t>Singapore</t>
        </is>
      </c>
      <c r="B23" s="9" t="n"/>
      <c r="C23" s="9" t="n"/>
      <c r="D23" s="9" t="n"/>
      <c r="E23" s="9" t="n"/>
      <c r="F23" s="21">
        <f>IF(ISNUMBER(B23),B23*VALUE(SUBSTITUTE(E23,"%",""))/100,0)</f>
        <v/>
      </c>
    </row>
    <row r="24">
      <c r="A24" s="22" t="inlineStr">
        <is>
          <t>TOTAL INCORRECT FILING EXPOSURE</t>
        </is>
      </c>
      <c r="B24" s="15" t="n"/>
      <c r="C24" s="15" t="n"/>
      <c r="D24" s="15" t="n"/>
      <c r="E24" s="15" t="n"/>
      <c r="F24" s="23">
        <f>SUM(F14:F23)</f>
        <v/>
      </c>
    </row>
  </sheetData>
  <mergeCells count="1">
    <mergeCell ref="A1:H1"/>
  </mergeCells>
  <dataValidations count="2">
    <dataValidation sqref="C14 C15 C16 C17 C18 C19 C20 C21 C22 C23" showDropDown="0" showInputMessage="0" showErrorMessage="0" allowBlank="1" type="list">
      <formula1>"Reasonable care,Careless,Deliberate,Deliberate and concealed"</formula1>
    </dataValidation>
    <dataValidation sqref="D14 D15 D16 D17 D18 D19 D20 D21 D22 D23" showDropDown="0" showInputMessage="0" showErrorMessage="0" allowBlank="1" type="list">
      <formula1>"Unprompted,Prompted"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INTEREST ON LATE PAYMENT CALCULATOR</t>
        </is>
      </c>
    </row>
    <row r="2">
      <c r="A2" s="7" t="inlineStr">
        <is>
          <t>Interest accrues from original due date until payment - cannot be mitigated</t>
        </is>
      </c>
    </row>
    <row r="4">
      <c r="A4" s="14" t="inlineStr">
        <is>
          <t>Jurisdiction</t>
        </is>
      </c>
      <c r="B4" s="14" t="inlineStr">
        <is>
          <t>Tax Due (EUR)</t>
        </is>
      </c>
      <c r="C4" s="14" t="inlineStr">
        <is>
          <t>Interest Rate p.a.</t>
        </is>
      </c>
      <c r="D4" s="14" t="inlineStr">
        <is>
          <t>Days Overdue</t>
        </is>
      </c>
      <c r="E4" s="14" t="inlineStr">
        <is>
          <t>Interest Amount (EUR)</t>
        </is>
      </c>
      <c r="F4" s="14" t="inlineStr">
        <is>
          <t>Total Due (EUR)</t>
        </is>
      </c>
    </row>
    <row r="5">
      <c r="A5" s="15" t="inlineStr">
        <is>
          <t>United Kingdom</t>
        </is>
      </c>
      <c r="B5" s="9" t="n"/>
      <c r="C5" s="15" t="inlineStr">
        <is>
          <t>7.5%</t>
        </is>
      </c>
      <c r="D5" s="9" t="n"/>
      <c r="E5" s="21">
        <f>IF(AND(ISNUMBER(B5),ISNUMBER(D5)),B5*VALUE(SUBSTITUTE(C5,"%",""))/100*D5/365,0)</f>
        <v/>
      </c>
      <c r="F5" s="21">
        <f>B5+E5</f>
        <v/>
      </c>
    </row>
    <row r="6">
      <c r="A6" s="15" t="inlineStr">
        <is>
          <t>Germany</t>
        </is>
      </c>
      <c r="B6" s="9" t="n"/>
      <c r="C6" s="15" t="inlineStr">
        <is>
          <t>6.0%</t>
        </is>
      </c>
      <c r="D6" s="9" t="n"/>
      <c r="E6" s="21">
        <f>IF(AND(ISNUMBER(B6),ISNUMBER(D6)),B6*VALUE(SUBSTITUTE(C6,"%",""))/100*D6/365,0)</f>
        <v/>
      </c>
      <c r="F6" s="21">
        <f>B6+E6</f>
        <v/>
      </c>
    </row>
    <row r="7">
      <c r="A7" s="15" t="inlineStr">
        <is>
          <t>France</t>
        </is>
      </c>
      <c r="B7" s="9" t="n"/>
      <c r="C7" s="15" t="inlineStr">
        <is>
          <t>2.4%</t>
        </is>
      </c>
      <c r="D7" s="9" t="n"/>
      <c r="E7" s="21">
        <f>IF(AND(ISNUMBER(B7),ISNUMBER(D7)),B7*VALUE(SUBSTITUTE(C7,"%",""))/100*D7/365,0)</f>
        <v/>
      </c>
      <c r="F7" s="21">
        <f>B7+E7</f>
        <v/>
      </c>
    </row>
    <row r="8">
      <c r="A8" s="15" t="inlineStr">
        <is>
          <t>Ireland</t>
        </is>
      </c>
      <c r="B8" s="9" t="n"/>
      <c r="C8" s="15" t="inlineStr">
        <is>
          <t>8.0%</t>
        </is>
      </c>
      <c r="D8" s="9" t="n"/>
      <c r="E8" s="21">
        <f>IF(AND(ISNUMBER(B8),ISNUMBER(D8)),B8*VALUE(SUBSTITUTE(C8,"%",""))/100*D8/365,0)</f>
        <v/>
      </c>
      <c r="F8" s="21">
        <f>B8+E8</f>
        <v/>
      </c>
    </row>
    <row r="9">
      <c r="A9" s="15" t="inlineStr">
        <is>
          <t>Netherlands</t>
        </is>
      </c>
      <c r="B9" s="9" t="n"/>
      <c r="C9" s="15" t="inlineStr">
        <is>
          <t>4.0%</t>
        </is>
      </c>
      <c r="D9" s="9" t="n"/>
      <c r="E9" s="21">
        <f>IF(AND(ISNUMBER(B9),ISNUMBER(D9)),B9*VALUE(SUBSTITUTE(C9,"%",""))/100*D9/365,0)</f>
        <v/>
      </c>
      <c r="F9" s="21">
        <f>B9+E9</f>
        <v/>
      </c>
    </row>
    <row r="10">
      <c r="A10" s="15" t="inlineStr">
        <is>
          <t>Luxembourg</t>
        </is>
      </c>
      <c r="B10" s="9" t="n"/>
      <c r="C10" s="15" t="inlineStr">
        <is>
          <t>7.2%</t>
        </is>
      </c>
      <c r="D10" s="9" t="n"/>
      <c r="E10" s="21">
        <f>IF(AND(ISNUMBER(B10),ISNUMBER(D10)),B10*VALUE(SUBSTITUTE(C10,"%",""))/100*D10/365,0)</f>
        <v/>
      </c>
      <c r="F10" s="21">
        <f>B10+E10</f>
        <v/>
      </c>
    </row>
    <row r="11">
      <c r="A11" s="15" t="inlineStr">
        <is>
          <t>Australia</t>
        </is>
      </c>
      <c r="B11" s="9" t="n"/>
      <c r="C11" s="15" t="inlineStr">
        <is>
          <t>11.0%</t>
        </is>
      </c>
      <c r="D11" s="9" t="n"/>
      <c r="E11" s="21">
        <f>IF(AND(ISNUMBER(B11),ISNUMBER(D11)),B11*VALUE(SUBSTITUTE(C11,"%",""))/100*D11/365,0)</f>
        <v/>
      </c>
      <c r="F11" s="21">
        <f>B11+E11</f>
        <v/>
      </c>
    </row>
    <row r="12">
      <c r="A12" s="15" t="inlineStr">
        <is>
          <t>Switzerland</t>
        </is>
      </c>
      <c r="B12" s="9" t="n"/>
      <c r="C12" s="15" t="inlineStr">
        <is>
          <t>4.5%</t>
        </is>
      </c>
      <c r="D12" s="9" t="n"/>
      <c r="E12" s="21">
        <f>IF(AND(ISNUMBER(B12),ISNUMBER(D12)),B12*VALUE(SUBSTITUTE(C12,"%",""))/100*D12/365,0)</f>
        <v/>
      </c>
      <c r="F12" s="21">
        <f>B12+E12</f>
        <v/>
      </c>
    </row>
    <row r="13">
      <c r="A13" s="15" t="inlineStr">
        <is>
          <t>Japan</t>
        </is>
      </c>
      <c r="B13" s="9" t="n"/>
      <c r="C13" s="15" t="inlineStr">
        <is>
          <t>14.6%</t>
        </is>
      </c>
      <c r="D13" s="9" t="n"/>
      <c r="E13" s="21">
        <f>IF(AND(ISNUMBER(B13),ISNUMBER(D13)),B13*VALUE(SUBSTITUTE(C13,"%",""))/100*D13/365,0)</f>
        <v/>
      </c>
      <c r="F13" s="21">
        <f>B13+E13</f>
        <v/>
      </c>
    </row>
    <row r="14">
      <c r="A14" s="15" t="inlineStr">
        <is>
          <t>Singapore</t>
        </is>
      </c>
      <c r="B14" s="9" t="n"/>
      <c r="C14" s="15" t="inlineStr">
        <is>
          <t>5.0%</t>
        </is>
      </c>
      <c r="D14" s="9" t="n"/>
      <c r="E14" s="21">
        <f>IF(AND(ISNUMBER(B14),ISNUMBER(D14)),B14*VALUE(SUBSTITUTE(C14,"%",""))/100*D14/365,0)</f>
        <v/>
      </c>
      <c r="F14" s="21">
        <f>B14+E14</f>
        <v/>
      </c>
    </row>
    <row r="15">
      <c r="A15" s="15" t="inlineStr">
        <is>
          <t>Belgium</t>
        </is>
      </c>
      <c r="B15" s="9" t="n"/>
      <c r="C15" s="15" t="inlineStr">
        <is>
          <t>7.0%</t>
        </is>
      </c>
      <c r="D15" s="9" t="n"/>
      <c r="E15" s="21">
        <f>IF(AND(ISNUMBER(B15),ISNUMBER(D15)),B15*VALUE(SUBSTITUTE(C15,"%",""))/100*D15/365,0)</f>
        <v/>
      </c>
      <c r="F15" s="21">
        <f>B15+E15</f>
        <v/>
      </c>
    </row>
    <row r="16">
      <c r="A16" s="15" t="inlineStr">
        <is>
          <t>Italy</t>
        </is>
      </c>
      <c r="B16" s="9" t="n"/>
      <c r="C16" s="15" t="inlineStr">
        <is>
          <t>4.0%</t>
        </is>
      </c>
      <c r="D16" s="9" t="n"/>
      <c r="E16" s="21">
        <f>IF(AND(ISNUMBER(B16),ISNUMBER(D16)),B16*VALUE(SUBSTITUTE(C16,"%",""))/100*D16/365,0)</f>
        <v/>
      </c>
      <c r="F16" s="21">
        <f>B16+E16</f>
        <v/>
      </c>
    </row>
    <row r="17">
      <c r="A17" s="15" t="inlineStr">
        <is>
          <t>Spain</t>
        </is>
      </c>
      <c r="B17" s="9" t="n"/>
      <c r="C17" s="15" t="inlineStr">
        <is>
          <t>4.5%</t>
        </is>
      </c>
      <c r="D17" s="9" t="n"/>
      <c r="E17" s="21">
        <f>IF(AND(ISNUMBER(B17),ISNUMBER(D17)),B17*VALUE(SUBSTITUTE(C17,"%",""))/100*D17/365,0)</f>
        <v/>
      </c>
      <c r="F17" s="21">
        <f>B17+E17</f>
        <v/>
      </c>
    </row>
    <row r="18">
      <c r="A18" s="15" t="inlineStr">
        <is>
          <t>Sweden</t>
        </is>
      </c>
      <c r="B18" s="9" t="n"/>
      <c r="C18" s="15" t="inlineStr">
        <is>
          <t>4.0%</t>
        </is>
      </c>
      <c r="D18" s="9" t="n"/>
      <c r="E18" s="21">
        <f>IF(AND(ISNUMBER(B18),ISNUMBER(D18)),B18*VALUE(SUBSTITUTE(C18,"%",""))/100*D18/365,0)</f>
        <v/>
      </c>
      <c r="F18" s="21">
        <f>B18+E18</f>
        <v/>
      </c>
    </row>
    <row r="19">
      <c r="A19" s="15" t="inlineStr">
        <is>
          <t>South Korea</t>
        </is>
      </c>
      <c r="B19" s="9" t="n"/>
      <c r="C19" s="15" t="inlineStr">
        <is>
          <t>8.0%</t>
        </is>
      </c>
      <c r="D19" s="9" t="n"/>
      <c r="E19" s="21">
        <f>IF(AND(ISNUMBER(B19),ISNUMBER(D19)),B19*VALUE(SUBSTITUTE(C19,"%",""))/100*D19/365,0)</f>
        <v/>
      </c>
      <c r="F19" s="21">
        <f>B19+E19</f>
        <v/>
      </c>
    </row>
    <row r="20">
      <c r="A20" s="22" t="inlineStr">
        <is>
          <t>TOTAL</t>
        </is>
      </c>
      <c r="B20" s="24">
        <f>SUM(B5:B19)</f>
        <v/>
      </c>
      <c r="C20" s="15" t="n"/>
      <c r="D20" s="15" t="n"/>
      <c r="E20" s="23">
        <f>SUM(E5:E19)</f>
        <v/>
      </c>
      <c r="F20" s="23">
        <f>SUM(F5:F19)</f>
        <v/>
      </c>
    </row>
    <row r="22">
      <c r="A22" s="7" t="inlineStr">
        <is>
          <t>Note: Interest rates as of publication date. Rates may vary - check current rates with local authority.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8" t="inlineStr">
        <is>
          <t>TRANSITIONAL PENALTY RELIEF ASSESSMENT</t>
        </is>
      </c>
    </row>
    <row r="3">
      <c r="A3" s="2" t="inlineStr">
        <is>
          <t>OECD TRANSITIONAL PERIOD</t>
        </is>
      </c>
    </row>
    <row r="4">
      <c r="A4" t="inlineStr">
        <is>
          <t>Start: Fiscal years beginning on or after 31 December 2023</t>
        </is>
      </c>
    </row>
    <row r="5">
      <c r="A5" t="inlineStr">
        <is>
          <t>End: Fiscal years ending on or before 30 June 2028</t>
        </is>
      </c>
    </row>
    <row r="7">
      <c r="A7" s="2" t="inlineStr">
        <is>
          <t>REASONABLE MEASURES CHECKLIST</t>
        </is>
      </c>
    </row>
    <row r="9">
      <c r="A9" s="14" t="inlineStr">
        <is>
          <t>#</t>
        </is>
      </c>
      <c r="B9" s="14" t="inlineStr">
        <is>
          <t>Factor</t>
        </is>
      </c>
      <c r="C9" s="14" t="inlineStr">
        <is>
          <t>Evidence Required</t>
        </is>
      </c>
      <c r="D9" s="14" t="inlineStr">
        <is>
          <t>Documented?</t>
        </is>
      </c>
      <c r="E9" s="14" t="inlineStr">
        <is>
          <t>Notes</t>
        </is>
      </c>
    </row>
    <row r="10">
      <c r="A10" s="15" t="n">
        <v>1</v>
      </c>
      <c r="B10" s="15" t="inlineStr">
        <is>
          <t>Good faith effort</t>
        </is>
      </c>
      <c r="C10" s="15" t="inlineStr">
        <is>
          <t>Documented intent to comply</t>
        </is>
      </c>
      <c r="D10" s="9" t="n"/>
      <c r="E10" s="9" t="n"/>
    </row>
    <row r="11">
      <c r="A11" s="15" t="n">
        <v>2</v>
      </c>
      <c r="B11" s="15" t="inlineStr">
        <is>
          <t>Professional advice</t>
        </is>
      </c>
      <c r="C11" s="15" t="inlineStr">
        <is>
          <t>Engagement letters, advisor correspondence</t>
        </is>
      </c>
      <c r="D11" s="9" t="n"/>
      <c r="E11" s="9" t="n"/>
    </row>
    <row r="12">
      <c r="A12" s="15" t="n">
        <v>3</v>
      </c>
      <c r="B12" s="15" t="inlineStr">
        <is>
          <t>Systems implementation</t>
        </is>
      </c>
      <c r="C12" s="15" t="inlineStr">
        <is>
          <t>GloBE calculation systems, controls</t>
        </is>
      </c>
      <c r="D12" s="9" t="n"/>
      <c r="E12" s="9" t="n"/>
    </row>
    <row r="13">
      <c r="A13" s="15" t="n">
        <v>4</v>
      </c>
      <c r="B13" s="15" t="inlineStr">
        <is>
          <t>Training</t>
        </is>
      </c>
      <c r="C13" s="15" t="inlineStr">
        <is>
          <t>Staff training records</t>
        </is>
      </c>
      <c r="D13" s="9" t="n"/>
      <c r="E13" s="9" t="n"/>
    </row>
    <row r="14">
      <c r="A14" s="15" t="n">
        <v>5</v>
      </c>
      <c r="B14" s="15" t="inlineStr">
        <is>
          <t>Timely disclosure</t>
        </is>
      </c>
      <c r="C14" s="15" t="inlineStr">
        <is>
          <t>Voluntary error disclosure</t>
        </is>
      </c>
      <c r="D14" s="9" t="n"/>
      <c r="E14" s="9" t="n"/>
    </row>
    <row r="15">
      <c r="A15" s="15" t="n">
        <v>6</v>
      </c>
      <c r="B15" s="15" t="inlineStr">
        <is>
          <t>Prompt correction</t>
        </is>
      </c>
      <c r="C15" s="15" t="inlineStr">
        <is>
          <t>Amendment filed without delay</t>
        </is>
      </c>
      <c r="D15" s="9" t="n"/>
      <c r="E15" s="9" t="n"/>
    </row>
    <row r="16">
      <c r="A16" s="15" t="n">
        <v>7</v>
      </c>
      <c r="B16" s="15" t="inlineStr">
        <is>
          <t>Internal controls</t>
        </is>
      </c>
      <c r="C16" s="15" t="inlineStr">
        <is>
          <t>Documented review procedures</t>
        </is>
      </c>
      <c r="D16" s="9" t="n"/>
      <c r="E16" s="9" t="n"/>
    </row>
    <row r="17">
      <c r="A17" s="15" t="n">
        <v>8</v>
      </c>
      <c r="B17" s="15" t="inlineStr">
        <is>
          <t>Process documentation</t>
        </is>
      </c>
      <c r="C17" s="15" t="inlineStr">
        <is>
          <t>GIR preparation process documented</t>
        </is>
      </c>
      <c r="D17" s="9" t="n"/>
      <c r="E17" s="9" t="n"/>
    </row>
    <row r="20">
      <c r="A20" s="2" t="inlineStr">
        <is>
          <t>RELIEF ELIGIBILITY ASSESSMENT</t>
        </is>
      </c>
    </row>
    <row r="22">
      <c r="A22" t="inlineStr">
        <is>
          <t>Factors Documented 'Yes':</t>
        </is>
      </c>
      <c r="B22" s="13">
        <f>COUNTIF(D10:D17,"Yes")</f>
        <v/>
      </c>
      <c r="C22" t="inlineStr">
        <is>
          <t>of 8</t>
        </is>
      </c>
    </row>
    <row r="23">
      <c r="A23" t="inlineStr">
        <is>
          <t>Relief Likely?:</t>
        </is>
      </c>
      <c r="B23" s="13">
        <f>IF(B22&gt;=6,"Strong case for relief",IF(B22&gt;=4,"Partial relief possible","Relief unlikely - strengthen documentation"))</f>
        <v/>
      </c>
    </row>
    <row r="25">
      <c r="A25" s="25" t="inlineStr">
        <is>
          <t>Warning: Transitional relief is NOT automatic. Each jurisdiction assesses 'reasonable measures' differently.</t>
        </is>
      </c>
    </row>
  </sheetData>
  <mergeCells count="3">
    <mergeCell ref="B23:E23"/>
    <mergeCell ref="A1:E1"/>
    <mergeCell ref="A25:E25"/>
  </mergeCells>
  <dataValidations count="1">
    <dataValidation sqref="D10 D11 D12 D13 D14 D15 D16 D17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8" customWidth="1" min="3" max="3"/>
    <col width="20" customWidth="1" min="4" max="4"/>
  </cols>
  <sheetData>
    <row r="1">
      <c r="A1" s="8" t="inlineStr">
        <is>
          <t>TOTAL PENALTY EXPOSURE SUMMARY</t>
        </is>
      </c>
    </row>
    <row r="3">
      <c r="A3" s="2" t="inlineStr">
        <is>
          <t>PENALTY EXPOSURE BY CATEGORY</t>
        </is>
      </c>
    </row>
    <row r="5">
      <c r="A5" s="14" t="inlineStr">
        <is>
          <t>Category</t>
        </is>
      </c>
      <c r="B5" s="14" t="inlineStr">
        <is>
          <t>Amount (EUR)</t>
        </is>
      </c>
      <c r="C5" s="14" t="inlineStr">
        <is>
          <t>Transitional Relief?</t>
        </is>
      </c>
      <c r="D5" s="14" t="inlineStr">
        <is>
          <t>Net Exposure (EUR)</t>
        </is>
      </c>
    </row>
    <row r="6">
      <c r="A6" s="15" t="inlineStr">
        <is>
          <t>Late Filing Penalties</t>
        </is>
      </c>
      <c r="B6" s="24">
        <f>Late_Filing_Calc!F19</f>
        <v/>
      </c>
      <c r="C6" s="9" t="n"/>
      <c r="D6" s="24">
        <f>IF(C6="Yes - Full",0,IF(C6="Yes - Partial",B6*0.5,B6))</f>
        <v/>
      </c>
    </row>
    <row r="7">
      <c r="A7" s="15" t="inlineStr">
        <is>
          <t>Incorrect Filing Penalties</t>
        </is>
      </c>
      <c r="B7" s="24">
        <f>Incorrect_Filing_Calc!F24</f>
        <v/>
      </c>
      <c r="C7" s="9" t="n"/>
      <c r="D7" s="24">
        <f>IF(C7="Yes - Full",0,IF(C7="Yes - Partial",B7*0.5,B7))</f>
        <v/>
      </c>
    </row>
    <row r="8">
      <c r="A8" s="15" t="inlineStr">
        <is>
          <t>Interest on Late Payment</t>
        </is>
      </c>
      <c r="B8" s="24">
        <f>Interest_Calculator!E20</f>
        <v/>
      </c>
      <c r="C8" s="9" t="n"/>
      <c r="D8" s="24">
        <f>IF(C8="Yes - Full",0,IF(C8="Yes - Partial",B8*0.5,B8))</f>
        <v/>
      </c>
    </row>
    <row r="9">
      <c r="A9" s="15" t="inlineStr">
        <is>
          <t>Failure to Register/DFE</t>
        </is>
      </c>
      <c r="B9" s="24" t="inlineStr">
        <is>
          <t>0</t>
        </is>
      </c>
      <c r="C9" s="9" t="n"/>
      <c r="D9" s="24">
        <f>IF(C9="Yes - Full",0,IF(C9="Yes - Partial",B9*0.5,B9))</f>
        <v/>
      </c>
    </row>
    <row r="10">
      <c r="A10" s="22" t="inlineStr">
        <is>
          <t>TOTAL EXPOSURE</t>
        </is>
      </c>
      <c r="B10" s="23">
        <f>SUM(B6:B9)</f>
        <v/>
      </c>
      <c r="C10" s="15" t="n"/>
      <c r="D10" s="23">
        <f>SUM(D6:D9)</f>
        <v/>
      </c>
    </row>
    <row r="13">
      <c r="A13" s="2" t="inlineStr">
        <is>
          <t>RISK SUMMARY</t>
        </is>
      </c>
    </row>
    <row r="15">
      <c r="A15" t="inlineStr">
        <is>
          <t>Gross Exposure:</t>
        </is>
      </c>
      <c r="B15" s="26">
        <f>B10</f>
        <v/>
      </c>
    </row>
    <row r="16">
      <c r="A16" t="inlineStr">
        <is>
          <t>With Transitional Relief:</t>
        </is>
      </c>
      <c r="B16" s="26">
        <f>D10</f>
        <v/>
      </c>
    </row>
    <row r="17">
      <c r="A17" t="inlineStr">
        <is>
          <t>Potential Savings:</t>
        </is>
      </c>
      <c r="B17" s="26">
        <f>B15-B16</f>
        <v/>
      </c>
    </row>
    <row r="19">
      <c r="A19" s="2" t="inlineStr">
        <is>
          <t>KEY ACTIONS TO MITIGATE PENALTY RISK:</t>
        </is>
      </c>
    </row>
    <row r="21">
      <c r="A21" t="inlineStr">
        <is>
          <t>1. Document all 'reasonable measures' taken for compliance</t>
        </is>
      </c>
    </row>
    <row r="22">
      <c r="A22" t="inlineStr">
        <is>
          <t>2. File before deadline - interest always accrues regardless of relief</t>
        </is>
      </c>
    </row>
    <row r="23">
      <c r="A23" t="inlineStr">
        <is>
          <t>3. Ensure DFE election is properly made and notified</t>
        </is>
      </c>
    </row>
    <row r="24">
      <c r="A24" t="inlineStr">
        <is>
          <t>4. Self-correct errors promptly with voluntary disclosure</t>
        </is>
      </c>
    </row>
    <row r="25">
      <c r="A25" t="inlineStr">
        <is>
          <t>5. Engage professional advisors and document engagement</t>
        </is>
      </c>
    </row>
    <row r="26">
      <c r="A26" t="inlineStr">
        <is>
          <t>6. Prioritize high-risk jurisdictions (France, Ireland, Luxembourg)</t>
        </is>
      </c>
    </row>
  </sheetData>
  <mergeCells count="1">
    <mergeCell ref="A1:D1"/>
  </mergeCells>
  <dataValidations count="1">
    <dataValidation sqref="C6 C7 C8 C9" showDropDown="0" showInputMessage="0" showErrorMessage="0" allowBlank="1" type="list">
      <formula1>"Yes - Full,Yes - Partial,No,TBD"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2025-12-02T19:16:37Z</dcterms:created>
  <dcterms:modified xsi:type="dcterms:W3CDTF">2025-12-02T19:16:37Z</dcterms:modified>
</cp:coreProperties>
</file>