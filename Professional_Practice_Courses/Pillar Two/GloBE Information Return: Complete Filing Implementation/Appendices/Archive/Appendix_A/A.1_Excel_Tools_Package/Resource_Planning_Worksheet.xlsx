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ject_Info" sheetId="2" state="visible" r:id="rId2"/>
    <sheet name="Team_Composition" sheetId="3" state="visible" r:id="rId3"/>
    <sheet name="Time_Allocation" sheetId="4" state="visible" r:id="rId4"/>
    <sheet name="Skills_Assessment" sheetId="5" state="visible" r:id="rId5"/>
    <sheet name="Technology_Planning" sheetId="6" state="visible" r:id="rId6"/>
    <sheet name="External_Advisors" sheetId="7" state="visible" r:id="rId7"/>
    <sheet name="Budget_Summary" sheetId="8" state="visible" r:id="rId8"/>
    <sheet name="Resource_Optimiz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£#,##0"/>
  </numFmts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1F4E79"/>
      <sz val="12"/>
    </font>
    <font>
      <b val="1"/>
    </font>
    <font>
      <i val="1"/>
      <color rgb="00666666"/>
    </font>
    <font>
      <b val="1"/>
      <color rgb="001F4E79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0" fillId="3" borderId="1" pivotButton="0" quotePrefix="0" xfId="0"/>
    <xf numFmtId="165" fontId="3" fillId="3" borderId="1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50" customWidth="1" min="3" max="3"/>
  </cols>
  <sheetData>
    <row r="1">
      <c r="A1" s="1" t="inlineStr">
        <is>
          <t>RESOURCE PLANNING WORKSHEET</t>
        </is>
      </c>
    </row>
    <row r="3">
      <c r="A3" s="2" t="inlineStr">
        <is>
          <t>Purpose</t>
        </is>
      </c>
    </row>
    <row r="4">
      <c r="A4" s="3" t="inlineStr">
        <is>
          <t>This tool helps plan and track resources required for GloBE Information Return (GIR) implementation, including internal team allocation, skills assessment, technology requirements, external advisors, and budget planning.</t>
        </is>
      </c>
    </row>
    <row r="6">
      <c r="A6" s="2" t="inlineStr">
        <is>
          <t>Based On</t>
        </is>
      </c>
    </row>
    <row r="7">
      <c r="A7" t="inlineStr">
        <is>
          <t>• OECD GIR Implementation best practices</t>
        </is>
      </c>
    </row>
    <row r="8">
      <c r="A8" t="inlineStr">
        <is>
          <t>• Tax Foundation compliance cost research (EUR 517-865M annually for European MNEs)</t>
        </is>
      </c>
    </row>
    <row r="9">
      <c r="A9" t="inlineStr">
        <is>
          <t>• Industry benchmarks: 70% of companies expect US$500,000+ annual Pillar Two compliance costs</t>
        </is>
      </c>
    </row>
    <row r="10">
      <c r="A10" t="inlineStr">
        <is>
          <t>• 50% of companies use co-sourced delivery model</t>
        </is>
      </c>
    </row>
    <row r="12">
      <c r="A12" s="2" t="inlineStr">
        <is>
          <t>Worksheet Overview</t>
        </is>
      </c>
    </row>
    <row r="13">
      <c r="A13" s="4" t="inlineStr">
        <is>
          <t>1. Instructions</t>
        </is>
      </c>
      <c r="C13" t="inlineStr">
        <is>
          <t>This overview and guidance</t>
        </is>
      </c>
    </row>
    <row r="14">
      <c r="A14" s="4" t="inlineStr">
        <is>
          <t>2. Project_Info</t>
        </is>
      </c>
      <c r="C14" t="inlineStr">
        <is>
          <t>Project details, scope, and timeline</t>
        </is>
      </c>
    </row>
    <row r="15">
      <c r="A15" s="4" t="inlineStr">
        <is>
          <t>3. Team_Composition</t>
        </is>
      </c>
      <c r="C15" t="inlineStr">
        <is>
          <t>Internal team roles and FTE allocation</t>
        </is>
      </c>
    </row>
    <row r="16">
      <c r="A16" s="4" t="inlineStr">
        <is>
          <t>4. Time_Allocation</t>
        </is>
      </c>
      <c r="C16" t="inlineStr">
        <is>
          <t>Monthly time allocation by role across 6-month timeline</t>
        </is>
      </c>
    </row>
    <row r="17">
      <c r="A17" s="4" t="inlineStr">
        <is>
          <t>5. Skills_Assessment</t>
        </is>
      </c>
      <c r="C17" t="inlineStr">
        <is>
          <t>Skills gap analysis and action planning</t>
        </is>
      </c>
    </row>
    <row r="18">
      <c r="A18" s="4" t="inlineStr">
        <is>
          <t>6. Technology_Planning</t>
        </is>
      </c>
      <c r="C18" t="inlineStr">
        <is>
          <t>Technology requirements and solution planning</t>
        </is>
      </c>
    </row>
    <row r="19">
      <c r="A19" s="4" t="inlineStr">
        <is>
          <t>7. External_Advisors</t>
        </is>
      </c>
      <c r="C19" t="inlineStr">
        <is>
          <t>External advisor engagement planning</t>
        </is>
      </c>
    </row>
    <row r="20">
      <c r="A20" s="4" t="inlineStr">
        <is>
          <t>8. Budget_Summary</t>
        </is>
      </c>
      <c r="C20" t="inlineStr">
        <is>
          <t>Comprehensive budget planning by category</t>
        </is>
      </c>
    </row>
    <row r="21">
      <c r="A21" s="4" t="inlineStr">
        <is>
          <t>9. Resource_Optimization</t>
        </is>
      </c>
      <c r="C21" t="inlineStr">
        <is>
          <t>Strategies to optimize resource requirements</t>
        </is>
      </c>
    </row>
    <row r="24">
      <c r="A24" s="2" t="inlineStr">
        <is>
          <t>Team Size Guidelines (from Tax Foundation research)</t>
        </is>
      </c>
    </row>
    <row r="26">
      <c r="A26" t="inlineStr">
        <is>
          <t>Small MNE (10-30 jurisdictions, 50-150 entities):</t>
        </is>
      </c>
      <c r="C26" t="inlineStr">
        <is>
          <t>2.0-3.5 core FTE</t>
        </is>
      </c>
    </row>
    <row r="27">
      <c r="A27" t="inlineStr">
        <is>
          <t>Medium MNE (30-60 jurisdictions, 150-400 entities):</t>
        </is>
      </c>
      <c r="C27" t="inlineStr">
        <is>
          <t>4.0-7.0 core FTE</t>
        </is>
      </c>
    </row>
    <row r="28">
      <c r="A28" t="inlineStr">
        <is>
          <t>Large MNE (60+ jurisdictions, 400+ entities):</t>
        </is>
      </c>
      <c r="C28" t="inlineStr">
        <is>
          <t>7.0-11.5 core FTE</t>
        </is>
      </c>
    </row>
    <row r="30">
      <c r="A30" s="2" t="inlineStr">
        <is>
          <t>Color Coding</t>
        </is>
      </c>
    </row>
    <row r="31">
      <c r="A31" s="5" t="inlineStr">
        <is>
          <t>Yellow cells</t>
        </is>
      </c>
      <c r="C31" t="inlineStr">
        <is>
          <t>Input cells - enter your data here</t>
        </is>
      </c>
    </row>
    <row r="32">
      <c r="A32" s="6" t="inlineStr">
        <is>
          <t>Green cells</t>
        </is>
      </c>
      <c r="C32" t="inlineStr">
        <is>
          <t>Calculated/auto-populated cells</t>
        </is>
      </c>
    </row>
    <row r="34">
      <c r="A34" s="7" t="inlineStr">
        <is>
          <t>Version: 1.0 | Created: December 2025 | Based on OECD GIR Framework</t>
        </is>
      </c>
    </row>
  </sheetData>
  <mergeCells count="2">
    <mergeCell ref="A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</cols>
  <sheetData>
    <row r="1">
      <c r="A1" s="8" t="inlineStr">
        <is>
          <t>PROJECT INFORMATION</t>
        </is>
      </c>
    </row>
    <row r="3">
      <c r="A3" s="4" t="inlineStr">
        <is>
          <t>MNE Group Name:</t>
        </is>
      </c>
      <c r="B3" s="9" t="inlineStr"/>
      <c r="C3" s="10" t="n"/>
      <c r="D3" s="11" t="n"/>
    </row>
    <row r="4">
      <c r="A4" s="4" t="inlineStr">
        <is>
          <t>Project Name:</t>
        </is>
      </c>
      <c r="B4" s="9" t="inlineStr">
        <is>
          <t>GIR Implementation FY____</t>
        </is>
      </c>
      <c r="C4" s="10" t="n"/>
      <c r="D4" s="11" t="n"/>
    </row>
    <row r="5">
      <c r="A5" s="4" t="inlineStr">
        <is>
          <t>Fiscal Year:</t>
        </is>
      </c>
      <c r="B5" s="9" t="inlineStr"/>
      <c r="C5" s="10" t="n"/>
      <c r="D5" s="11" t="n"/>
    </row>
    <row r="6">
      <c r="A6" s="4" t="inlineStr">
        <is>
          <t>Number of Jurisdictions:</t>
        </is>
      </c>
      <c r="B6" s="9" t="inlineStr"/>
      <c r="C6" s="10" t="n"/>
      <c r="D6" s="11" t="n"/>
    </row>
    <row r="7">
      <c r="A7" s="4" t="inlineStr">
        <is>
          <t>Number of Constituent Entities:</t>
        </is>
      </c>
      <c r="B7" s="9" t="inlineStr"/>
      <c r="C7" s="10" t="n"/>
      <c r="D7" s="11" t="n"/>
    </row>
    <row r="8">
      <c r="A8" s="4" t="inlineStr">
        <is>
          <t>Complexity Level:</t>
        </is>
      </c>
      <c r="B8" s="9" t="inlineStr"/>
      <c r="C8" s="10" t="n"/>
      <c r="D8" s="11" t="n"/>
    </row>
    <row r="9">
      <c r="A9" s="4" t="inlineStr">
        <is>
          <t>First Year in Scope?:</t>
        </is>
      </c>
      <c r="B9" s="9" t="inlineStr"/>
      <c r="C9" s="10" t="n"/>
      <c r="D9" s="11" t="n"/>
    </row>
    <row r="10">
      <c r="A10" s="4" t="inlineStr">
        <is>
          <t>Filing Deadline:</t>
        </is>
      </c>
      <c r="B10" s="9" t="inlineStr"/>
      <c r="C10" s="10" t="n"/>
      <c r="D10" s="11" t="n"/>
    </row>
    <row r="11">
      <c r="A11" s="4" t="inlineStr">
        <is>
          <t>Project Sponsor:</t>
        </is>
      </c>
      <c r="B11" s="9" t="inlineStr"/>
      <c r="C11" s="10" t="n"/>
      <c r="D11" s="11" t="n"/>
    </row>
    <row r="12">
      <c r="A12" s="4" t="inlineStr">
        <is>
          <t>Project Manager:</t>
        </is>
      </c>
      <c r="B12" s="9" t="inlineStr"/>
      <c r="C12" s="10" t="n"/>
      <c r="D12" s="11" t="n"/>
    </row>
    <row r="13">
      <c r="A13" s="4" t="inlineStr">
        <is>
          <t>Project Start Date:</t>
        </is>
      </c>
      <c r="B13" s="9" t="inlineStr"/>
      <c r="C13" s="10" t="n"/>
      <c r="D13" s="11" t="n"/>
    </row>
    <row r="14">
      <c r="A14" s="4" t="inlineStr">
        <is>
          <t>Target Go-Live Date:</t>
        </is>
      </c>
      <c r="B14" s="9" t="inlineStr"/>
      <c r="C14" s="10" t="n"/>
      <c r="D14" s="11" t="n"/>
    </row>
    <row r="17">
      <c r="A17" s="2" t="inlineStr">
        <is>
          <t>OPERATING MODEL</t>
        </is>
      </c>
    </row>
    <row r="19">
      <c r="A19" t="inlineStr">
        <is>
          <t>Selected Operating Model:</t>
        </is>
      </c>
      <c r="B19" s="9" t="n"/>
    </row>
    <row r="20">
      <c r="A20" t="inlineStr">
        <is>
          <t>Model Description:</t>
        </is>
      </c>
      <c r="B20" s="6">
        <f>IF(B19="Fully In-House (27%)","All work performed by internal team",IF(B19="Co-Sourced (50%)","Internal ownership with external support",IF(B19="Fully Outsourced (23%)","External provider manages compliance","")))</f>
        <v/>
      </c>
    </row>
  </sheetData>
  <mergeCells count="14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  <mergeCell ref="B20:D20"/>
  </mergeCells>
  <dataValidations count="3">
    <dataValidation sqref="B8" showDropDown="0" showInputMessage="0" showErrorMessage="0" allowBlank="1" type="list">
      <formula1>"Small (10-30 juris),Medium (30-60 juris),Large (60+ juris)"</formula1>
    </dataValidation>
    <dataValidation sqref="B9 B17 D22 D23 D24 D25 D26" showDropDown="0" showInputMessage="0" showErrorMessage="0" allowBlank="1" type="list">
      <formula1>"Yes,No"</formula1>
    </dataValidation>
    <dataValidation sqref="B19" showDropDown="0" showInputMessage="0" showErrorMessage="0" allowBlank="1" type="list">
      <formula1>"Fully In-House (27%),Co-Sourced (50%),Fully Outsourced (23%)"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45" customWidth="1" min="5" max="5"/>
    <col width="25" customWidth="1" min="6" max="6"/>
  </cols>
  <sheetData>
    <row r="1">
      <c r="A1" s="8" t="inlineStr">
        <is>
          <t>TEAM COMPOSITION PLANNING</t>
        </is>
      </c>
    </row>
    <row r="2">
      <c r="A2" s="7" t="inlineStr">
        <is>
          <t>Define internal team roles and allocations for GIR implementation</t>
        </is>
      </c>
    </row>
    <row r="4">
      <c r="A4" s="12" t="inlineStr">
        <is>
          <t>CORE TEAM</t>
        </is>
      </c>
    </row>
    <row r="5">
      <c r="A5" s="13" t="inlineStr">
        <is>
          <t>Role</t>
        </is>
      </c>
      <c r="B5" s="13" t="inlineStr">
        <is>
          <t>Internal FTE</t>
        </is>
      </c>
      <c r="C5" s="13" t="inlineStr">
        <is>
          <t>External Support?</t>
        </is>
      </c>
      <c r="D5" s="13" t="inlineStr">
        <is>
          <t>Start Date</t>
        </is>
      </c>
      <c r="E5" s="13" t="inlineStr">
        <is>
          <t>End Date</t>
        </is>
      </c>
      <c r="F5" s="13" t="inlineStr">
        <is>
          <t>Notes</t>
        </is>
      </c>
    </row>
    <row r="6">
      <c r="A6" s="14" t="inlineStr">
        <is>
          <t>Project Sponsor</t>
        </is>
      </c>
      <c r="B6" s="9" t="inlineStr">
        <is>
          <t>0.1</t>
        </is>
      </c>
      <c r="C6" s="9" t="inlineStr">
        <is>
          <t>N/A</t>
        </is>
      </c>
      <c r="D6" s="9" t="n"/>
      <c r="E6" s="9" t="n"/>
      <c r="F6" s="9" t="n"/>
    </row>
    <row r="7">
      <c r="A7" s="14" t="inlineStr">
        <is>
          <t>Project Manager</t>
        </is>
      </c>
      <c r="B7" s="9" t="inlineStr">
        <is>
          <t>0.5</t>
        </is>
      </c>
      <c r="C7" s="9" t="inlineStr"/>
      <c r="D7" s="9" t="n"/>
      <c r="E7" s="9" t="n"/>
      <c r="F7" s="9" t="n"/>
    </row>
    <row r="8">
      <c r="A8" s="14" t="inlineStr">
        <is>
          <t>GIR Technical Lead</t>
        </is>
      </c>
      <c r="B8" s="9" t="inlineStr">
        <is>
          <t>1.0</t>
        </is>
      </c>
      <c r="C8" s="9" t="inlineStr"/>
      <c r="D8" s="9" t="n"/>
      <c r="E8" s="9" t="n"/>
      <c r="F8" s="9" t="n"/>
    </row>
    <row r="9">
      <c r="A9" s="14" t="inlineStr">
        <is>
          <t>Data Manager</t>
        </is>
      </c>
      <c r="B9" s="9" t="inlineStr">
        <is>
          <t>0.5</t>
        </is>
      </c>
      <c r="C9" s="9" t="inlineStr"/>
      <c r="D9" s="9" t="n"/>
      <c r="E9" s="9" t="n"/>
      <c r="F9" s="9" t="n"/>
    </row>
    <row r="10">
      <c r="A10" s="14" t="inlineStr">
        <is>
          <t>Entity Coordinator(s)</t>
        </is>
      </c>
      <c r="B10" s="9" t="inlineStr">
        <is>
          <t>0.5</t>
        </is>
      </c>
      <c r="C10" s="9" t="inlineStr"/>
      <c r="D10" s="9" t="n"/>
      <c r="E10" s="9" t="n"/>
      <c r="F10" s="9" t="n"/>
    </row>
    <row r="11">
      <c r="A11" s="14" t="inlineStr">
        <is>
          <t>ERP/Systems Lead</t>
        </is>
      </c>
      <c r="B11" s="9" t="inlineStr">
        <is>
          <t>0.3</t>
        </is>
      </c>
      <c r="C11" s="9" t="inlineStr"/>
      <c r="D11" s="9" t="n"/>
      <c r="E11" s="9" t="n"/>
      <c r="F11" s="9" t="n"/>
    </row>
    <row r="12">
      <c r="A12" s="15" t="inlineStr">
        <is>
          <t>Total Core FTE</t>
        </is>
      </c>
      <c r="B12" s="16">
        <f>SUM(B6:B11)</f>
        <v/>
      </c>
      <c r="C12" s="14" t="n"/>
      <c r="D12" s="14" t="n"/>
      <c r="E12" s="14" t="n"/>
      <c r="F12" s="14" t="n"/>
    </row>
    <row r="15">
      <c r="A15" s="12" t="inlineStr">
        <is>
          <t>EXTENDED TEAM (Part-time Contributors)</t>
        </is>
      </c>
    </row>
    <row r="16">
      <c r="A16" s="13" t="inlineStr">
        <is>
          <t>Role</t>
        </is>
      </c>
      <c r="B16" s="13" t="inlineStr">
        <is>
          <t>Department</t>
        </is>
      </c>
      <c r="C16" s="13" t="inlineStr">
        <is>
          <t>% Time Allocated</t>
        </is>
      </c>
      <c r="D16" s="13" t="inlineStr">
        <is>
          <t>Peak Months</t>
        </is>
      </c>
      <c r="E16" s="13" t="inlineStr">
        <is>
          <t>Key Contribution</t>
        </is>
      </c>
      <c r="F16" s="13" t="inlineStr">
        <is>
          <t>Notes</t>
        </is>
      </c>
    </row>
    <row r="17">
      <c r="A17" s="14" t="inlineStr">
        <is>
          <t>Financial Controller</t>
        </is>
      </c>
      <c r="B17" s="14" t="inlineStr">
        <is>
          <t>Finance</t>
        </is>
      </c>
      <c r="C17" s="9" t="inlineStr">
        <is>
          <t>20%</t>
        </is>
      </c>
      <c r="D17" s="14" t="inlineStr">
        <is>
          <t>3-4</t>
        </is>
      </c>
      <c r="E17" s="14" t="inlineStr">
        <is>
          <t>Financial statement data, accounting adjustments</t>
        </is>
      </c>
      <c r="F17" s="9" t="n"/>
    </row>
    <row r="18">
      <c r="A18" s="14" t="inlineStr">
        <is>
          <t>Tax Provision Lead</t>
        </is>
      </c>
      <c r="B18" s="14" t="inlineStr">
        <is>
          <t>Tax</t>
        </is>
      </c>
      <c r="C18" s="9" t="inlineStr">
        <is>
          <t>25%</t>
        </is>
      </c>
      <c r="D18" s="14" t="inlineStr">
        <is>
          <t>3-5</t>
        </is>
      </c>
      <c r="E18" s="14" t="inlineStr">
        <is>
          <t>Covered taxes data, deferred tax adjustments</t>
        </is>
      </c>
      <c r="F18" s="9" t="n"/>
    </row>
    <row r="19">
      <c r="A19" s="14" t="inlineStr">
        <is>
          <t>Transfer Pricing Manager</t>
        </is>
      </c>
      <c r="B19" s="14" t="inlineStr">
        <is>
          <t>Tax</t>
        </is>
      </c>
      <c r="C19" s="9" t="inlineStr">
        <is>
          <t>15%</t>
        </is>
      </c>
      <c r="D19" s="14" t="inlineStr">
        <is>
          <t>2-4</t>
        </is>
      </c>
      <c r="E19" s="14" t="inlineStr">
        <is>
          <t>Intra-group transaction data, adjustments</t>
        </is>
      </c>
      <c r="F19" s="9" t="n"/>
    </row>
    <row r="20">
      <c r="A20" s="14" t="inlineStr">
        <is>
          <t>HR/Payroll Lead</t>
        </is>
      </c>
      <c r="B20" s="14" t="inlineStr">
        <is>
          <t>HR</t>
        </is>
      </c>
      <c r="C20" s="9" t="inlineStr">
        <is>
          <t>10%</t>
        </is>
      </c>
      <c r="D20" s="14" t="inlineStr">
        <is>
          <t>2-3</t>
        </is>
      </c>
      <c r="E20" s="14" t="inlineStr">
        <is>
          <t>Payroll data by jurisdiction for SBIE</t>
        </is>
      </c>
      <c r="F20" s="9" t="n"/>
    </row>
    <row r="21">
      <c r="A21" s="14" t="inlineStr">
        <is>
          <t>Fixed Assets Manager</t>
        </is>
      </c>
      <c r="B21" s="14" t="inlineStr">
        <is>
          <t>Finance</t>
        </is>
      </c>
      <c r="C21" s="9" t="inlineStr">
        <is>
          <t>10%</t>
        </is>
      </c>
      <c r="D21" s="14" t="inlineStr">
        <is>
          <t>2-3</t>
        </is>
      </c>
      <c r="E21" s="14" t="inlineStr">
        <is>
          <t>Tangible asset data by location for SBIE</t>
        </is>
      </c>
      <c r="F21" s="9" t="n"/>
    </row>
    <row r="22">
      <c r="A22" s="14" t="inlineStr">
        <is>
          <t>Legal/Company Secretary</t>
        </is>
      </c>
      <c r="B22" s="14" t="inlineStr">
        <is>
          <t>Legal</t>
        </is>
      </c>
      <c r="C22" s="9" t="inlineStr">
        <is>
          <t>10%</t>
        </is>
      </c>
      <c r="D22" s="14" t="inlineStr">
        <is>
          <t>1-2</t>
        </is>
      </c>
      <c r="E22" s="14" t="inlineStr">
        <is>
          <t>Entity structure, ownership documentation</t>
        </is>
      </c>
      <c r="F22" s="9" t="n"/>
    </row>
    <row r="23">
      <c r="A23" s="14" t="inlineStr">
        <is>
          <t>Treasury Manager</t>
        </is>
      </c>
      <c r="B23" s="14" t="inlineStr">
        <is>
          <t>Treasury</t>
        </is>
      </c>
      <c r="C23" s="9" t="inlineStr">
        <is>
          <t>10%</t>
        </is>
      </c>
      <c r="D23" s="14" t="inlineStr">
        <is>
          <t>2-3</t>
        </is>
      </c>
      <c r="E23" s="14" t="inlineStr">
        <is>
          <t>FX rates, intercompany financing data</t>
        </is>
      </c>
      <c r="F23" s="9" t="n"/>
    </row>
    <row r="26">
      <c r="A26" s="2" t="inlineStr">
        <is>
          <t>TEAM SIZE SUMMARY</t>
        </is>
      </c>
    </row>
    <row r="28">
      <c r="A28" t="inlineStr">
        <is>
          <t>Total Core FTE:</t>
        </is>
      </c>
      <c r="B28" s="6">
        <f>B12</f>
        <v/>
      </c>
    </row>
    <row r="29">
      <c r="A29" t="inlineStr">
        <is>
          <t>Recommended Range:</t>
        </is>
      </c>
      <c r="B29" s="6">
        <f>IF(Project_Info!B8="Small (10-30 juris)","2.0-3.5 FTE",IF(Project_Info!B8="Medium (30-60 juris)","4.0-7.0 FTE",IF(Project_Info!B8="Large (60+ juris)","7.0-11.5 FTE","Select complexity")))</f>
        <v/>
      </c>
    </row>
  </sheetData>
  <mergeCells count="3">
    <mergeCell ref="A1:F1"/>
    <mergeCell ref="A4:F4"/>
    <mergeCell ref="A15:F15"/>
  </mergeCells>
  <dataValidations count="1">
    <dataValidation sqref="C6 C7 C8 C9 C10 C11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MONTHLY TIME ALLOCATION</t>
        </is>
      </c>
    </row>
    <row r="2">
      <c r="A2" s="7" t="inlineStr">
        <is>
          <t>Based on 6-month implementation timeline (170 working hours per month)</t>
        </is>
      </c>
    </row>
    <row r="4">
      <c r="A4" s="13" t="inlineStr">
        <is>
          <t>Role</t>
        </is>
      </c>
      <c r="B4" s="13" t="inlineStr">
        <is>
          <t>Month 1</t>
        </is>
      </c>
      <c r="C4" s="13" t="inlineStr">
        <is>
          <t>Month 2</t>
        </is>
      </c>
      <c r="D4" s="13" t="inlineStr">
        <is>
          <t>Month 3</t>
        </is>
      </c>
      <c r="E4" s="13" t="inlineStr">
        <is>
          <t>Month 4</t>
        </is>
      </c>
      <c r="F4" s="13" t="inlineStr">
        <is>
          <t>Month 5</t>
        </is>
      </c>
      <c r="G4" s="13" t="inlineStr">
        <is>
          <t>Month 6</t>
        </is>
      </c>
      <c r="H4" s="13" t="inlineStr">
        <is>
          <t>Total Hours</t>
        </is>
      </c>
      <c r="I4" s="13" t="inlineStr">
        <is>
          <t>Total FTE Months</t>
        </is>
      </c>
    </row>
    <row r="5">
      <c r="A5" s="14" t="inlineStr">
        <is>
          <t>Project Sponsor</t>
        </is>
      </c>
      <c r="B5" s="9" t="inlineStr">
        <is>
          <t>10%</t>
        </is>
      </c>
      <c r="C5" s="9" t="inlineStr">
        <is>
          <t>5%</t>
        </is>
      </c>
      <c r="D5" s="9" t="inlineStr">
        <is>
          <t>5%</t>
        </is>
      </c>
      <c r="E5" s="9" t="inlineStr">
        <is>
          <t>5%</t>
        </is>
      </c>
      <c r="F5" s="9" t="inlineStr">
        <is>
          <t>10%</t>
        </is>
      </c>
      <c r="G5" s="9" t="inlineStr">
        <is>
          <t>10%</t>
        </is>
      </c>
      <c r="H5" s="17">
        <f>170*(VALUE(SUBSTITUTE(B5,"%",""))+VALUE(SUBSTITUTE(C5,"%",""))+VALUE(SUBSTITUTE(D5,"%",""))+VALUE(SUBSTITUTE(E5,"%",""))+VALUE(SUBSTITUTE(F5,"%",""))+VALUE(SUBSTITUTE(G5,"%","")))/100</f>
        <v/>
      </c>
      <c r="I5" s="18">
        <f>H5/170</f>
        <v/>
      </c>
    </row>
    <row r="6">
      <c r="A6" s="14" t="inlineStr">
        <is>
          <t>Project Manager</t>
        </is>
      </c>
      <c r="B6" s="9" t="inlineStr">
        <is>
          <t>40%</t>
        </is>
      </c>
      <c r="C6" s="9" t="inlineStr">
        <is>
          <t>30%</t>
        </is>
      </c>
      <c r="D6" s="9" t="inlineStr">
        <is>
          <t>30%</t>
        </is>
      </c>
      <c r="E6" s="9" t="inlineStr">
        <is>
          <t>30%</t>
        </is>
      </c>
      <c r="F6" s="9" t="inlineStr">
        <is>
          <t>40%</t>
        </is>
      </c>
      <c r="G6" s="9" t="inlineStr">
        <is>
          <t>30%</t>
        </is>
      </c>
      <c r="H6" s="17">
        <f>170*(VALUE(SUBSTITUTE(B6,"%",""))+VALUE(SUBSTITUTE(C6,"%",""))+VALUE(SUBSTITUTE(D6,"%",""))+VALUE(SUBSTITUTE(E6,"%",""))+VALUE(SUBSTITUTE(F6,"%",""))+VALUE(SUBSTITUTE(G6,"%","")))/100</f>
        <v/>
      </c>
      <c r="I6" s="18">
        <f>H6/170</f>
        <v/>
      </c>
    </row>
    <row r="7">
      <c r="A7" s="14" t="inlineStr">
        <is>
          <t>GIR Technical Lead</t>
        </is>
      </c>
      <c r="B7" s="9" t="inlineStr">
        <is>
          <t>20%</t>
        </is>
      </c>
      <c r="C7" s="9" t="inlineStr">
        <is>
          <t>40%</t>
        </is>
      </c>
      <c r="D7" s="9" t="inlineStr">
        <is>
          <t>60%</t>
        </is>
      </c>
      <c r="E7" s="9" t="inlineStr">
        <is>
          <t>80%</t>
        </is>
      </c>
      <c r="F7" s="9" t="inlineStr">
        <is>
          <t>80%</t>
        </is>
      </c>
      <c r="G7" s="9" t="inlineStr">
        <is>
          <t>60%</t>
        </is>
      </c>
      <c r="H7" s="17">
        <f>170*(VALUE(SUBSTITUTE(B7,"%",""))+VALUE(SUBSTITUTE(C7,"%",""))+VALUE(SUBSTITUTE(D7,"%",""))+VALUE(SUBSTITUTE(E7,"%",""))+VALUE(SUBSTITUTE(F7,"%",""))+VALUE(SUBSTITUTE(G7,"%","")))/100</f>
        <v/>
      </c>
      <c r="I7" s="18">
        <f>H7/170</f>
        <v/>
      </c>
    </row>
    <row r="8">
      <c r="A8" s="14" t="inlineStr">
        <is>
          <t>Data Manager</t>
        </is>
      </c>
      <c r="B8" s="9" t="inlineStr">
        <is>
          <t>20%</t>
        </is>
      </c>
      <c r="C8" s="9" t="inlineStr">
        <is>
          <t>60%</t>
        </is>
      </c>
      <c r="D8" s="9" t="inlineStr">
        <is>
          <t>60%</t>
        </is>
      </c>
      <c r="E8" s="9" t="inlineStr">
        <is>
          <t>40%</t>
        </is>
      </c>
      <c r="F8" s="9" t="inlineStr">
        <is>
          <t>20%</t>
        </is>
      </c>
      <c r="G8" s="9" t="inlineStr">
        <is>
          <t>10%</t>
        </is>
      </c>
      <c r="H8" s="17">
        <f>170*(VALUE(SUBSTITUTE(B8,"%",""))+VALUE(SUBSTITUTE(C8,"%",""))+VALUE(SUBSTITUTE(D8,"%",""))+VALUE(SUBSTITUTE(E8,"%",""))+VALUE(SUBSTITUTE(F8,"%",""))+VALUE(SUBSTITUTE(G8,"%","")))/100</f>
        <v/>
      </c>
      <c r="I8" s="18">
        <f>H8/170</f>
        <v/>
      </c>
    </row>
    <row r="9">
      <c r="A9" s="14" t="inlineStr">
        <is>
          <t>Entity Coordinator</t>
        </is>
      </c>
      <c r="B9" s="9" t="inlineStr">
        <is>
          <t>30%</t>
        </is>
      </c>
      <c r="C9" s="9" t="inlineStr">
        <is>
          <t>50%</t>
        </is>
      </c>
      <c r="D9" s="9" t="inlineStr">
        <is>
          <t>60%</t>
        </is>
      </c>
      <c r="E9" s="9" t="inlineStr">
        <is>
          <t>30%</t>
        </is>
      </c>
      <c r="F9" s="9" t="inlineStr">
        <is>
          <t>10%</t>
        </is>
      </c>
      <c r="G9" s="9" t="inlineStr">
        <is>
          <t>10%</t>
        </is>
      </c>
      <c r="H9" s="17">
        <f>170*(VALUE(SUBSTITUTE(B9,"%",""))+VALUE(SUBSTITUTE(C9,"%",""))+VALUE(SUBSTITUTE(D9,"%",""))+VALUE(SUBSTITUTE(E9,"%",""))+VALUE(SUBSTITUTE(F9,"%",""))+VALUE(SUBSTITUTE(G9,"%","")))/100</f>
        <v/>
      </c>
      <c r="I9" s="18">
        <f>H9/170</f>
        <v/>
      </c>
    </row>
    <row r="10">
      <c r="A10" s="14" t="inlineStr">
        <is>
          <t>ERP/Systems Lead</t>
        </is>
      </c>
      <c r="B10" s="9" t="inlineStr">
        <is>
          <t>10%</t>
        </is>
      </c>
      <c r="C10" s="9" t="inlineStr">
        <is>
          <t>20%</t>
        </is>
      </c>
      <c r="D10" s="9" t="inlineStr">
        <is>
          <t>40%</t>
        </is>
      </c>
      <c r="E10" s="9" t="inlineStr">
        <is>
          <t>20%</t>
        </is>
      </c>
      <c r="F10" s="9" t="inlineStr">
        <is>
          <t>10%</t>
        </is>
      </c>
      <c r="G10" s="9" t="inlineStr">
        <is>
          <t>5%</t>
        </is>
      </c>
      <c r="H10" s="17">
        <f>170*(VALUE(SUBSTITUTE(B10,"%",""))+VALUE(SUBSTITUTE(C10,"%",""))+VALUE(SUBSTITUTE(D10,"%",""))+VALUE(SUBSTITUTE(E10,"%",""))+VALUE(SUBSTITUTE(F10,"%",""))+VALUE(SUBSTITUTE(G10,"%","")))/100</f>
        <v/>
      </c>
      <c r="I10" s="18">
        <f>H10/170</f>
        <v/>
      </c>
    </row>
    <row r="11">
      <c r="A11" s="14" t="inlineStr">
        <is>
          <t>Extended Team</t>
        </is>
      </c>
      <c r="B11" s="9" t="inlineStr">
        <is>
          <t>10%</t>
        </is>
      </c>
      <c r="C11" s="9" t="inlineStr">
        <is>
          <t>30%</t>
        </is>
      </c>
      <c r="D11" s="9" t="inlineStr">
        <is>
          <t>40%</t>
        </is>
      </c>
      <c r="E11" s="9" t="inlineStr">
        <is>
          <t>30%</t>
        </is>
      </c>
      <c r="F11" s="9" t="inlineStr">
        <is>
          <t>20%</t>
        </is>
      </c>
      <c r="G11" s="9" t="inlineStr">
        <is>
          <t>10%</t>
        </is>
      </c>
      <c r="H11" s="17">
        <f>170*(VALUE(SUBSTITUTE(B11,"%",""))+VALUE(SUBSTITUTE(C11,"%",""))+VALUE(SUBSTITUTE(D11,"%",""))+VALUE(SUBSTITUTE(E11,"%",""))+VALUE(SUBSTITUTE(F11,"%",""))+VALUE(SUBSTITUTE(G11,"%","")))/100</f>
        <v/>
      </c>
      <c r="I11" s="18">
        <f>H11/170</f>
        <v/>
      </c>
    </row>
    <row r="12">
      <c r="A12" s="15" t="inlineStr">
        <is>
          <t>TOTAL</t>
        </is>
      </c>
      <c r="B12" s="14" t="n"/>
      <c r="C12" s="14" t="n"/>
      <c r="D12" s="14" t="n"/>
      <c r="E12" s="14" t="n"/>
      <c r="F12" s="14" t="n"/>
      <c r="G12" s="14" t="n"/>
      <c r="H12" s="19">
        <f>SUM(H5:H11)</f>
        <v/>
      </c>
      <c r="I12" s="20">
        <f>H12/170</f>
        <v/>
      </c>
    </row>
    <row r="15">
      <c r="A15" s="2" t="inlineStr">
        <is>
          <t>PEAK RESOURCE PERIODS</t>
        </is>
      </c>
    </row>
    <row r="17">
      <c r="A17" s="4" t="inlineStr">
        <is>
          <t>Month 3: Data Collection Peak</t>
        </is>
      </c>
      <c r="B17" t="inlineStr">
        <is>
          <t>Highest demand on Entity Coordinator and Data Manager</t>
        </is>
      </c>
    </row>
    <row r="18">
      <c r="A18" s="4" t="inlineStr">
        <is>
          <t>Month 4: Calculator Completion</t>
        </is>
      </c>
      <c r="B18" t="inlineStr">
        <is>
          <t>GIR Technical Lead at maximum capacity</t>
        </is>
      </c>
    </row>
    <row r="19">
      <c r="A19" s="4" t="inlineStr">
        <is>
          <t>Month 5: Filing Preparation</t>
        </is>
      </c>
      <c r="B19" t="inlineStr">
        <is>
          <t>Technical Lead and Project Manager peak</t>
        </is>
      </c>
    </row>
  </sheetData>
  <mergeCells count="4">
    <mergeCell ref="A1:I1"/>
    <mergeCell ref="B17:E17"/>
    <mergeCell ref="B18:E18"/>
    <mergeCell ref="B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12" customWidth="1" min="4" max="4"/>
    <col width="40" customWidth="1" min="5" max="5"/>
  </cols>
  <sheetData>
    <row r="1">
      <c r="A1" s="8" t="inlineStr">
        <is>
          <t>SKILLS ASSESSMENT</t>
        </is>
      </c>
    </row>
    <row r="2">
      <c r="A2" s="7" t="inlineStr">
        <is>
          <t>Assess current capabilities and identify skill gaps requiring training or external support</t>
        </is>
      </c>
    </row>
    <row r="4">
      <c r="A4" s="13" t="inlineStr">
        <is>
          <t>Skill Area</t>
        </is>
      </c>
      <c r="B4" s="13" t="inlineStr">
        <is>
          <t>Current Capability</t>
        </is>
      </c>
      <c r="C4" s="13" t="inlineStr">
        <is>
          <t>Gap?</t>
        </is>
      </c>
      <c r="D4" s="13" t="inlineStr">
        <is>
          <t>Priority</t>
        </is>
      </c>
      <c r="E4" s="13" t="inlineStr">
        <is>
          <t>Action Required</t>
        </is>
      </c>
    </row>
    <row r="5">
      <c r="A5" s="14" t="inlineStr">
        <is>
          <t>Pillar Two / GloBE Rules technical expertise</t>
        </is>
      </c>
      <c r="B5" s="9" t="n"/>
      <c r="C5" s="9" t="n"/>
      <c r="D5" s="9" t="n"/>
      <c r="E5" s="9" t="n"/>
    </row>
    <row r="6">
      <c r="A6" s="14" t="inlineStr">
        <is>
          <t>GIR structure and XML technical knowledge</t>
        </is>
      </c>
      <c r="B6" s="9" t="n"/>
      <c r="C6" s="9" t="n"/>
      <c r="D6" s="9" t="n"/>
      <c r="E6" s="9" t="n"/>
    </row>
    <row r="7">
      <c r="A7" s="14" t="inlineStr">
        <is>
          <t>Data mapping and systems integration</t>
        </is>
      </c>
      <c r="B7" s="9" t="n"/>
      <c r="C7" s="9" t="n"/>
      <c r="D7" s="9" t="n"/>
      <c r="E7" s="9" t="n"/>
    </row>
    <row r="8">
      <c r="A8" s="14" t="inlineStr">
        <is>
          <t>Project management and coordination</t>
        </is>
      </c>
      <c r="B8" s="9" t="n"/>
      <c r="C8" s="9" t="n"/>
      <c r="D8" s="9" t="n"/>
      <c r="E8" s="9" t="n"/>
    </row>
    <row r="9">
      <c r="A9" s="14" t="inlineStr">
        <is>
          <t>Multi-jurisdiction tax compliance</t>
        </is>
      </c>
      <c r="B9" s="9" t="n"/>
      <c r="C9" s="9" t="n"/>
      <c r="D9" s="9" t="n"/>
      <c r="E9" s="9" t="n"/>
    </row>
    <row r="10">
      <c r="A10" s="14" t="inlineStr">
        <is>
          <t>ETR calculation methodology</t>
        </is>
      </c>
      <c r="B10" s="9" t="n"/>
      <c r="C10" s="9" t="n"/>
      <c r="D10" s="9" t="n"/>
      <c r="E10" s="9" t="n"/>
    </row>
    <row r="11">
      <c r="A11" s="14" t="inlineStr">
        <is>
          <t>Safe harbour provisions knowledge</t>
        </is>
      </c>
      <c r="B11" s="9" t="n"/>
      <c r="C11" s="9" t="n"/>
      <c r="D11" s="9" t="n"/>
      <c r="E11" s="9" t="n"/>
    </row>
    <row r="12">
      <c r="A12" s="14" t="inlineStr">
        <is>
          <t>Transfer pricing adjustments</t>
        </is>
      </c>
      <c r="B12" s="9" t="n"/>
      <c r="C12" s="9" t="n"/>
      <c r="D12" s="9" t="n"/>
      <c r="E12" s="9" t="n"/>
    </row>
    <row r="13">
      <c r="A13" s="14" t="inlineStr">
        <is>
          <t>Financial statement / GAAP/IFRS</t>
        </is>
      </c>
      <c r="B13" s="9" t="n"/>
      <c r="C13" s="9" t="n"/>
      <c r="D13" s="9" t="n"/>
      <c r="E13" s="9" t="n"/>
    </row>
    <row r="14">
      <c r="A14" s="14" t="inlineStr">
        <is>
          <t>ERP system knowledge (SAP/Oracle)</t>
        </is>
      </c>
      <c r="B14" s="9" t="n"/>
      <c r="C14" s="9" t="n"/>
      <c r="D14" s="9" t="n"/>
      <c r="E14" s="9" t="n"/>
    </row>
    <row r="17">
      <c r="A17" s="2" t="inlineStr">
        <is>
          <t>SKILLS GAP SUMMARY</t>
        </is>
      </c>
    </row>
    <row r="19">
      <c r="A19" t="inlineStr">
        <is>
          <t>Total Skill Areas:</t>
        </is>
      </c>
      <c r="B19" s="6" t="inlineStr">
        <is>
          <t>10</t>
        </is>
      </c>
    </row>
    <row r="20">
      <c r="A20" t="inlineStr">
        <is>
          <t>Gaps Identified:</t>
        </is>
      </c>
      <c r="B20" s="6">
        <f>COUNTIF(C5:C14,"Yes")</f>
        <v/>
      </c>
    </row>
    <row r="21">
      <c r="A21" t="inlineStr">
        <is>
          <t>High Priority Gaps:</t>
        </is>
      </c>
      <c r="B21" s="6">
        <f>COUNTIFS(C5:C14,"Yes",D5:D14,"High")</f>
        <v/>
      </c>
    </row>
    <row r="23">
      <c r="A23" s="7" t="inlineStr">
        <is>
          <t>Note: Finding professionals with tax subject matter expertise is one of the top three challenges facing</t>
        </is>
      </c>
    </row>
    <row r="24">
      <c r="A24" s="7" t="inlineStr">
        <is>
          <t>tax departments. Consider 'hybrid' tax specialists who combine tax knowledge with data analytics.</t>
        </is>
      </c>
    </row>
  </sheetData>
  <mergeCells count="1">
    <mergeCell ref="A1:E1"/>
  </mergeCells>
  <dataValidations count="3">
    <dataValidation sqref="B5 B6 B7 B8 B9 B10 B11 B12 B13 B14" showDropDown="0" showInputMessage="0" showErrorMessage="0" allowBlank="1" type="list">
      <formula1>"Strong,Moderate,Limited,None"</formula1>
    </dataValidation>
    <dataValidation sqref="C5 C6 C7 C8 C9 C10 C11 C12 C13 C14" showDropDown="0" showInputMessage="0" showErrorMessage="0" allowBlank="1" type="list">
      <formula1>"Yes,No"</formula1>
    </dataValidation>
    <dataValidation sqref="D5 D6 D7 D8 D9 D10 D11 D12 D13 D14 D31 D32 D33 D3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10" customWidth="1" min="3" max="3"/>
    <col width="30" customWidth="1" min="4" max="4"/>
    <col width="18" customWidth="1" min="5" max="5"/>
    <col width="15" customWidth="1" min="6" max="6"/>
  </cols>
  <sheetData>
    <row r="1">
      <c r="A1" s="8" t="inlineStr">
        <is>
          <t>TECHNOLOGY PLANNING</t>
        </is>
      </c>
    </row>
    <row r="2">
      <c r="A2" s="7" t="inlineStr">
        <is>
          <t>Assess technology requirements and plan solutions for GIR implementation</t>
        </is>
      </c>
    </row>
    <row r="4">
      <c r="A4" s="13" t="inlineStr">
        <is>
          <t>Component</t>
        </is>
      </c>
      <c r="B4" s="13" t="inlineStr">
        <is>
          <t>Current Solution</t>
        </is>
      </c>
      <c r="C4" s="13" t="inlineStr">
        <is>
          <t>Gap?</t>
        </is>
      </c>
      <c r="D4" s="13" t="inlineStr">
        <is>
          <t>Planned Solution</t>
        </is>
      </c>
      <c r="E4" s="13" t="inlineStr">
        <is>
          <t>Implementation Date</t>
        </is>
      </c>
      <c r="F4" s="13" t="inlineStr">
        <is>
          <t>Budget (£)</t>
        </is>
      </c>
    </row>
    <row r="5">
      <c r="A5" s="14" t="inlineStr">
        <is>
          <t>Data Repository (Central Storage)</t>
        </is>
      </c>
      <c r="B5" s="9" t="n"/>
      <c r="C5" s="9" t="n"/>
      <c r="D5" s="9" t="inlineStr">
        <is>
          <t>SharePoint, Network, Cloud</t>
        </is>
      </c>
      <c r="E5" s="9" t="n"/>
      <c r="F5" s="9" t="n"/>
    </row>
    <row r="6">
      <c r="A6" s="14" t="inlineStr">
        <is>
          <t>Data Extraction Tool</t>
        </is>
      </c>
      <c r="B6" s="9" t="n"/>
      <c r="C6" s="9" t="n"/>
      <c r="D6" s="9" t="inlineStr">
        <is>
          <t>ERP Reports, APIs, ETL</t>
        </is>
      </c>
      <c r="E6" s="9" t="n"/>
      <c r="F6" s="9" t="n"/>
    </row>
    <row r="7">
      <c r="A7" s="14" t="inlineStr">
        <is>
          <t>Pillar Two Calculation Engine</t>
        </is>
      </c>
      <c r="B7" s="9" t="n"/>
      <c r="C7" s="9" t="n"/>
      <c r="D7" s="9" t="inlineStr">
        <is>
          <t>Excel, Commercial Platform</t>
        </is>
      </c>
      <c r="E7" s="9" t="n"/>
      <c r="F7" s="9" t="n"/>
    </row>
    <row r="8">
      <c r="A8" s="14" t="inlineStr">
        <is>
          <t>GIR Completion Tool</t>
        </is>
      </c>
      <c r="B8" s="9" t="n"/>
      <c r="C8" s="9" t="n"/>
      <c r="D8" s="9" t="inlineStr">
        <is>
          <t>GIR Calculator (course tool)</t>
        </is>
      </c>
      <c r="E8" s="9" t="n"/>
      <c r="F8" s="9" t="n"/>
    </row>
    <row r="9">
      <c r="A9" s="14" t="inlineStr">
        <is>
          <t>XML Generation</t>
        </is>
      </c>
      <c r="B9" s="9" t="n"/>
      <c r="C9" s="9" t="n"/>
      <c r="D9" s="9" t="inlineStr">
        <is>
          <t>Excel Export, Dedicated Tool</t>
        </is>
      </c>
      <c r="E9" s="9" t="n"/>
      <c r="F9" s="9" t="n"/>
    </row>
    <row r="10">
      <c r="A10" s="14" t="inlineStr">
        <is>
          <t>XML Validation</t>
        </is>
      </c>
      <c r="B10" s="9" t="n"/>
      <c r="C10" s="9" t="n"/>
      <c r="D10" s="9" t="inlineStr">
        <is>
          <t>Online Validators, Desktop Tools</t>
        </is>
      </c>
      <c r="E10" s="9" t="n"/>
      <c r="F10" s="9" t="n"/>
    </row>
    <row r="11">
      <c r="A11" s="14" t="inlineStr">
        <is>
          <t>Filing Portal Access</t>
        </is>
      </c>
      <c r="B11" s="9" t="n"/>
      <c r="C11" s="9" t="n"/>
      <c r="D11" s="9" t="inlineStr">
        <is>
          <t>Direct Portal Access</t>
        </is>
      </c>
      <c r="E11" s="9" t="n"/>
      <c r="F11" s="9" t="n"/>
    </row>
    <row r="12">
      <c r="A12" s="14" t="inlineStr">
        <is>
          <t>Workflow/Collaboration</t>
        </is>
      </c>
      <c r="B12" s="9" t="n"/>
      <c r="C12" s="9" t="n"/>
      <c r="D12" s="9" t="inlineStr">
        <is>
          <t>SharePoint, Teams, Dedicated</t>
        </is>
      </c>
      <c r="E12" s="9" t="n"/>
      <c r="F12" s="9" t="n"/>
    </row>
    <row r="13">
      <c r="A13" s="15" t="inlineStr">
        <is>
          <t>Total Technology Budget</t>
        </is>
      </c>
      <c r="B13" s="14" t="n"/>
      <c r="C13" s="14" t="n"/>
      <c r="D13" s="14" t="n"/>
      <c r="E13" s="14" t="n"/>
      <c r="F13" s="21">
        <f>SUM(F5:F12)</f>
        <v/>
      </c>
    </row>
    <row r="16">
      <c r="A16" s="2" t="inlineStr">
        <is>
          <t>COMMERCIAL PILLAR TWO PLATFORMS (Reference)</t>
        </is>
      </c>
    </row>
    <row r="18">
      <c r="A18" s="13" t="inlineStr">
        <is>
          <t>Platform</t>
        </is>
      </c>
      <c r="B18" s="13" t="inlineStr">
        <is>
          <t>Vendor</t>
        </is>
      </c>
      <c r="C18" s="13" t="inlineStr">
        <is>
          <t>Key Features</t>
        </is>
      </c>
    </row>
    <row r="19">
      <c r="A19" s="14" t="inlineStr">
        <is>
          <t>CCH Integrator</t>
        </is>
      </c>
      <c r="B19" s="14" t="inlineStr">
        <is>
          <t>Wolters Kluwer</t>
        </is>
      </c>
      <c r="C19" s="14" t="inlineStr">
        <is>
          <t>Complete P2 calculation engine, cloud-based</t>
        </is>
      </c>
    </row>
    <row r="20">
      <c r="A20" s="14" t="inlineStr">
        <is>
          <t>Corptax GMT</t>
        </is>
      </c>
      <c r="B20" s="14" t="inlineStr">
        <is>
          <t>CSC</t>
        </is>
      </c>
      <c r="C20" s="14" t="inlineStr">
        <is>
          <t>OECD model rules, automated ETL</t>
        </is>
      </c>
    </row>
    <row r="21">
      <c r="A21" s="14" t="inlineStr">
        <is>
          <t>KBAT</t>
        </is>
      </c>
      <c r="B21" s="14" t="inlineStr">
        <is>
          <t>KPMG</t>
        </is>
      </c>
      <c r="C21" s="14" t="inlineStr">
        <is>
          <t>Cloud-based, managed services</t>
        </is>
      </c>
    </row>
    <row r="22">
      <c r="A22" s="14" t="inlineStr">
        <is>
          <t>GloBE Technology Suite</t>
        </is>
      </c>
      <c r="B22" s="14" t="inlineStr">
        <is>
          <t>EY</t>
        </is>
      </c>
      <c r="C22" s="14" t="inlineStr">
        <is>
          <t>SaaS or co-sourced</t>
        </is>
      </c>
    </row>
    <row r="23">
      <c r="A23" s="14" t="inlineStr">
        <is>
          <t>Pillar Two Engine</t>
        </is>
      </c>
      <c r="B23" s="14" t="inlineStr">
        <is>
          <t>PwC</t>
        </is>
      </c>
      <c r="C23" s="14" t="inlineStr">
        <is>
          <t>Sightline platform, AI-enhanced</t>
        </is>
      </c>
    </row>
    <row r="24">
      <c r="A24" s="14" t="inlineStr">
        <is>
          <t>Pillar Two Agent</t>
        </is>
      </c>
      <c r="B24" s="14" t="inlineStr">
        <is>
          <t>Deloitte</t>
        </is>
      </c>
      <c r="C24" s="14" t="inlineStr">
        <is>
          <t>Cloud platform, co-sourcing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15" customWidth="1" min="4" max="4"/>
    <col width="20" customWidth="1" min="5" max="5"/>
    <col width="15" customWidth="1" min="6" max="6"/>
  </cols>
  <sheetData>
    <row r="1">
      <c r="A1" s="8" t="inlineStr">
        <is>
          <t>EXTERNAL ADVISOR PLANNING</t>
        </is>
      </c>
    </row>
    <row r="2">
      <c r="A2" s="7" t="inlineStr">
        <is>
          <t>Plan external advisory engagement for GIR implementation support</t>
        </is>
      </c>
    </row>
    <row r="4">
      <c r="A4" s="13" t="inlineStr">
        <is>
          <t>Service Type</t>
        </is>
      </c>
      <c r="B4" s="13" t="inlineStr">
        <is>
          <t>Needed?</t>
        </is>
      </c>
      <c r="C4" s="13" t="inlineStr">
        <is>
          <t>Scope</t>
        </is>
      </c>
      <c r="D4" s="13" t="inlineStr">
        <is>
          <t>Timing</t>
        </is>
      </c>
      <c r="E4" s="13" t="inlineStr">
        <is>
          <t>Provider</t>
        </is>
      </c>
      <c r="F4" s="13" t="inlineStr">
        <is>
          <t>Budget (£)</t>
        </is>
      </c>
    </row>
    <row r="5">
      <c r="A5" s="14" t="inlineStr">
        <is>
          <t>Technical Advisory</t>
        </is>
      </c>
      <c r="B5" s="9" t="n"/>
      <c r="C5" s="9" t="inlineStr">
        <is>
          <t>Pillar Two interpretation, safe harbour analysis</t>
        </is>
      </c>
      <c r="D5" s="9" t="n"/>
      <c r="E5" s="9" t="n"/>
      <c r="F5" s="9" t="n"/>
    </row>
    <row r="6">
      <c r="A6" s="14" t="inlineStr">
        <is>
          <t>Implementation Support</t>
        </is>
      </c>
      <c r="B6" s="9" t="n"/>
      <c r="C6" s="9" t="inlineStr">
        <is>
          <t>Data mapping, calculator configuration</t>
        </is>
      </c>
      <c r="D6" s="9" t="n"/>
      <c r="E6" s="9" t="n"/>
      <c r="F6" s="9" t="n"/>
    </row>
    <row r="7">
      <c r="A7" s="14" t="inlineStr">
        <is>
          <t>Co-sourcing/Outsourcing</t>
        </is>
      </c>
      <c r="B7" s="9" t="n"/>
      <c r="C7" s="9" t="inlineStr">
        <is>
          <t>Data collection, GIR completion, filing</t>
        </is>
      </c>
      <c r="D7" s="9" t="n"/>
      <c r="E7" s="9" t="n"/>
      <c r="F7" s="9" t="n"/>
    </row>
    <row r="8">
      <c r="A8" s="14" t="inlineStr">
        <is>
          <t>Training</t>
        </is>
      </c>
      <c r="B8" s="9" t="n"/>
      <c r="C8" s="9" t="inlineStr">
        <is>
          <t>Team capability building</t>
        </is>
      </c>
      <c r="D8" s="9" t="n"/>
      <c r="E8" s="9" t="n"/>
      <c r="F8" s="9" t="n"/>
    </row>
    <row r="9">
      <c r="A9" s="14" t="inlineStr">
        <is>
          <t>Quality Review</t>
        </is>
      </c>
      <c r="B9" s="9" t="n"/>
      <c r="C9" s="9" t="inlineStr">
        <is>
          <t>Independent review before filing</t>
        </is>
      </c>
      <c r="D9" s="9" t="n"/>
      <c r="E9" s="9" t="n"/>
      <c r="F9" s="9" t="n"/>
    </row>
    <row r="10">
      <c r="A10" s="15" t="inlineStr">
        <is>
          <t>Total External Advisor Budget</t>
        </is>
      </c>
      <c r="B10" s="14" t="n"/>
      <c r="C10" s="14" t="n"/>
      <c r="D10" s="14" t="n"/>
      <c r="E10" s="14" t="n"/>
      <c r="F10" s="21">
        <f>SUM(F5:F9)</f>
        <v/>
      </c>
    </row>
    <row r="13">
      <c r="A13" s="2" t="inlineStr">
        <is>
          <t>ADVISORY COST BENCHMARKS (Reference)</t>
        </is>
      </c>
    </row>
    <row r="15">
      <c r="A15" s="13" t="inlineStr">
        <is>
          <t>Service Type</t>
        </is>
      </c>
      <c r="B15" s="13" t="inlineStr">
        <is>
          <t>Typical Range</t>
        </is>
      </c>
    </row>
    <row r="16">
      <c r="A16" s="14" t="inlineStr">
        <is>
          <t>Technical advisory</t>
        </is>
      </c>
      <c r="B16" s="14" t="inlineStr">
        <is>
          <t>£50,000 - £150,000</t>
        </is>
      </c>
    </row>
    <row r="17">
      <c r="A17" s="14" t="inlineStr">
        <is>
          <t>Implementation support</t>
        </is>
      </c>
      <c r="B17" s="14" t="inlineStr">
        <is>
          <t>£100,000 - £300,000</t>
        </is>
      </c>
    </row>
    <row r="18">
      <c r="A18" s="14" t="inlineStr">
        <is>
          <t>Annual co-sourcing</t>
        </is>
      </c>
      <c r="B18" s="14" t="inlineStr">
        <is>
          <t>£150,000 - £500,000+</t>
        </is>
      </c>
    </row>
    <row r="19">
      <c r="A19" s="14" t="inlineStr">
        <is>
          <t>Full outsourcing</t>
        </is>
      </c>
      <c r="B19" s="14" t="inlineStr">
        <is>
          <t>£200,000 - £750,000+</t>
        </is>
      </c>
    </row>
    <row r="22">
      <c r="A22" s="2" t="inlineStr">
        <is>
          <t>ADVISOR SELECTION CRITERIA</t>
        </is>
      </c>
    </row>
    <row r="24">
      <c r="A24" t="inlineStr">
        <is>
          <t>• Pillar Two expertise and GIR filing experience</t>
        </is>
      </c>
    </row>
    <row r="25">
      <c r="A25" t="inlineStr">
        <is>
          <t>• Technology platform capabilities</t>
        </is>
      </c>
    </row>
    <row r="26">
      <c r="A26" t="inlineStr">
        <is>
          <t>• Global coverage for all filing jurisdictions</t>
        </is>
      </c>
    </row>
    <row r="27">
      <c r="A27" t="inlineStr">
        <is>
          <t>• Team stability and availability</t>
        </is>
      </c>
    </row>
    <row r="28">
      <c r="A28" t="inlineStr">
        <is>
          <t>• Pricing model (fixed vs time-based)</t>
        </is>
      </c>
    </row>
    <row r="29">
      <c r="A29" t="inlineStr">
        <is>
          <t>• Client references from similar organizations</t>
        </is>
      </c>
    </row>
  </sheetData>
  <mergeCells count="1">
    <mergeCell ref="A1:F1"/>
  </mergeCells>
  <dataValidations count="1">
    <dataValidation sqref="B5 B6 B7 B8 B9" showDropDown="0" showInputMessage="0" showErrorMessage="0" allowBlank="1" type="list">
      <formula1>"Yes,No,TBD"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35" customWidth="1" min="4" max="4"/>
  </cols>
  <sheetData>
    <row r="1">
      <c r="A1" s="8" t="inlineStr">
        <is>
          <t>BUDGET SUMMARY</t>
        </is>
      </c>
    </row>
    <row r="2">
      <c r="A2" s="7" t="inlineStr">
        <is>
          <t>Comprehensive budget planning for GIR implementation</t>
        </is>
      </c>
    </row>
    <row r="4">
      <c r="A4" s="13" t="inlineStr">
        <is>
          <t>Category</t>
        </is>
      </c>
      <c r="B4" s="13" t="inlineStr">
        <is>
          <t>Year 1 (Implementation)</t>
        </is>
      </c>
      <c r="C4" s="13" t="inlineStr">
        <is>
          <t>Year 2+ (Ongoing)</t>
        </is>
      </c>
      <c r="D4" s="13" t="inlineStr">
        <is>
          <t>Notes</t>
        </is>
      </c>
    </row>
    <row r="5">
      <c r="A5" s="14" t="inlineStr">
        <is>
          <t>Internal Labour</t>
        </is>
      </c>
      <c r="B5" s="9" t="n"/>
      <c r="C5" s="9" t="n"/>
      <c r="D5" s="14" t="inlineStr">
        <is>
          <t>Based on FTE x fully loaded cost</t>
        </is>
      </c>
    </row>
    <row r="6">
      <c r="A6" s="14" t="inlineStr">
        <is>
          <t>Technology</t>
        </is>
      </c>
      <c r="B6" s="16">
        <f>Technology_Planning!F13</f>
        <v/>
      </c>
      <c r="C6" s="9" t="n"/>
      <c r="D6" s="14" t="inlineStr">
        <is>
          <t>One-time + ongoing licenses</t>
        </is>
      </c>
    </row>
    <row r="7">
      <c r="A7" s="14" t="inlineStr">
        <is>
          <t>External Advisory</t>
        </is>
      </c>
      <c r="B7" s="16">
        <f>External_Advisors!F10</f>
        <v/>
      </c>
      <c r="C7" s="9" t="n"/>
      <c r="D7" s="14" t="inlineStr">
        <is>
          <t>Implementation + ongoing support</t>
        </is>
      </c>
    </row>
    <row r="8">
      <c r="A8" s="14" t="inlineStr">
        <is>
          <t>Training</t>
        </is>
      </c>
      <c r="B8" s="9" t="n"/>
      <c r="C8" s="9" t="n"/>
      <c r="D8" s="14" t="inlineStr">
        <is>
          <t>Internal and external training</t>
        </is>
      </c>
    </row>
    <row r="9">
      <c r="A9" s="14" t="inlineStr">
        <is>
          <t>Travel/Expenses</t>
        </is>
      </c>
      <c r="B9" s="9" t="n"/>
      <c r="C9" s="9" t="n"/>
      <c r="D9" s="14" t="inlineStr">
        <is>
          <t>Multi-jurisdiction coordination</t>
        </is>
      </c>
    </row>
    <row r="10">
      <c r="A10" s="14" t="inlineStr">
        <is>
          <t>Contingency (15-20%)</t>
        </is>
      </c>
      <c r="B10" s="9" t="n"/>
      <c r="C10" s="9" t="n"/>
      <c r="D10" s="14" t="inlineStr">
        <is>
          <t>Risk buffer</t>
        </is>
      </c>
    </row>
    <row r="11">
      <c r="A11" s="15" t="inlineStr">
        <is>
          <t>TOTAL BUDGET</t>
        </is>
      </c>
      <c r="B11" s="22">
        <f>SUM(B5:B10)</f>
        <v/>
      </c>
      <c r="C11" s="22">
        <f>SUM(C5:C10)</f>
        <v/>
      </c>
      <c r="D11" s="14" t="n"/>
    </row>
    <row r="14">
      <c r="A14" s="2" t="inlineStr">
        <is>
          <t>BUDGET BENCHMARKS BY COMPLEXITY</t>
        </is>
      </c>
    </row>
    <row r="16">
      <c r="A16" s="13" t="inlineStr">
        <is>
          <t>MNE Size</t>
        </is>
      </c>
      <c r="B16" s="13" t="inlineStr">
        <is>
          <t>Year 1 Range</t>
        </is>
      </c>
      <c r="C16" s="13" t="inlineStr">
        <is>
          <t>Year 2+ Range</t>
        </is>
      </c>
    </row>
    <row r="17">
      <c r="A17" s="14" t="inlineStr">
        <is>
          <t>Small (10-30 jurisdictions)</t>
        </is>
      </c>
      <c r="B17" s="14" t="inlineStr">
        <is>
          <t>£275,000 - £500,000</t>
        </is>
      </c>
      <c r="C17" s="14" t="inlineStr">
        <is>
          <t>£125,000 - £250,000</t>
        </is>
      </c>
    </row>
    <row r="18">
      <c r="A18" s="14" t="inlineStr">
        <is>
          <t>Medium (30-60 jurisdictions)</t>
        </is>
      </c>
      <c r="B18" s="14" t="inlineStr">
        <is>
          <t>£550,000 - £1,000,000</t>
        </is>
      </c>
      <c r="C18" s="14" t="inlineStr">
        <is>
          <t>£275,000 - £500,000</t>
        </is>
      </c>
    </row>
    <row r="19">
      <c r="A19" s="14" t="inlineStr">
        <is>
          <t>Large (60+ jurisdictions)</t>
        </is>
      </c>
      <c r="B19" s="14" t="inlineStr">
        <is>
          <t>£1,000,000 - £1,900,000</t>
        </is>
      </c>
      <c r="C19" s="14" t="inlineStr">
        <is>
          <t>£500,000 - £1,000,000</t>
        </is>
      </c>
    </row>
    <row r="22">
      <c r="A22" s="2" t="inlineStr">
        <is>
          <t>BUDGET vs BENCHMARK</t>
        </is>
      </c>
    </row>
    <row r="24">
      <c r="A24" t="inlineStr">
        <is>
          <t>Your Year 1 Budget:</t>
        </is>
      </c>
      <c r="B24" s="23">
        <f>B11</f>
        <v/>
      </c>
    </row>
    <row r="25">
      <c r="A25" t="inlineStr">
        <is>
          <t>Complexity Level:</t>
        </is>
      </c>
      <c r="B25" s="6">
        <f>Project_Info!B8</f>
        <v/>
      </c>
    </row>
    <row r="26">
      <c r="A26" t="inlineStr">
        <is>
          <t>Status:</t>
        </is>
      </c>
      <c r="B26" s="6">
        <f>IF(AND(B11&gt;=275000,B11&lt;=1900000),"Within typical range","Review budget assumptions")</f>
        <v/>
      </c>
    </row>
    <row r="28">
      <c r="A28" s="7" t="inlineStr">
        <is>
          <t>Note: 70% of companies expect to pay in excess of US$500,000 annually for Pillar Two compliance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18" customWidth="1" min="4" max="4"/>
  </cols>
  <sheetData>
    <row r="1">
      <c r="A1" s="8" t="inlineStr">
        <is>
          <t>RESOURCE OPTIMIZATION STRATEGIES</t>
        </is>
      </c>
    </row>
    <row r="2">
      <c r="A2" s="7" t="inlineStr">
        <is>
          <t>Strategies to optimize resource requirements for GIR implementation</t>
        </is>
      </c>
    </row>
    <row r="4">
      <c r="A4" s="12" t="inlineStr">
        <is>
          <t>1. LEVERAGE SAFE HARBOURS</t>
        </is>
      </c>
    </row>
    <row r="5">
      <c r="A5" s="13" t="inlineStr">
        <is>
          <t>Safe Harbour</t>
        </is>
      </c>
      <c r="B5" s="13" t="inlineStr">
        <is>
          <t>Applicable?</t>
        </is>
      </c>
      <c r="C5" s="13" t="inlineStr">
        <is>
          <t>Resource Impact</t>
        </is>
      </c>
      <c r="D5" s="13" t="inlineStr">
        <is>
          <t>Action Required</t>
        </is>
      </c>
    </row>
    <row r="6">
      <c r="A6" s="14" t="inlineStr">
        <is>
          <t>Transitional CbCR Safe Harbour</t>
        </is>
      </c>
      <c r="B6" s="9" t="n"/>
      <c r="C6" s="14" t="inlineStr">
        <is>
          <t>Reduces Section 3 data requirements</t>
        </is>
      </c>
      <c r="D6" s="9" t="n"/>
    </row>
    <row r="7">
      <c r="A7" s="14" t="inlineStr">
        <is>
          <t>QDMTT Safe Harbour</t>
        </is>
      </c>
      <c r="B7" s="9" t="n"/>
      <c r="C7" s="14" t="inlineStr">
        <is>
          <t>May reduce calculation complexity</t>
        </is>
      </c>
      <c r="D7" s="9" t="n"/>
    </row>
    <row r="8">
      <c r="A8" s="14" t="inlineStr">
        <is>
          <t>De Minimis Exclusion</t>
        </is>
      </c>
      <c r="B8" s="9" t="n"/>
      <c r="C8" s="14" t="inlineStr">
        <is>
          <t>Reduces entity-level data requirements</t>
        </is>
      </c>
      <c r="D8" s="9" t="n"/>
    </row>
    <row r="11">
      <c r="A11" s="12" t="inlineStr">
        <is>
          <t>2. USE TRANSITIONAL SIMPLIFIED REPORTING</t>
        </is>
      </c>
    </row>
    <row r="13">
      <c r="A13" t="inlineStr">
        <is>
          <t>OECD guidance permits simplified jurisdictional reporting (rather than CE basis)</t>
        </is>
      </c>
    </row>
    <row r="14">
      <c r="A14" t="inlineStr">
        <is>
          <t>for fiscal years beginning on or before December 31, 2028.</t>
        </is>
      </c>
    </row>
    <row r="15">
      <c r="A15" s="4" t="inlineStr">
        <is>
          <t>Potential reduction: 30-50% of entity-level data collection effort</t>
        </is>
      </c>
    </row>
    <row r="17">
      <c r="A17" t="inlineStr">
        <is>
          <t>Using Simplified Reporting?:</t>
        </is>
      </c>
      <c r="B17" s="9" t="n"/>
    </row>
    <row r="20">
      <c r="A20" s="12" t="inlineStr">
        <is>
          <t>3. AUTOMATE WHERE POSSIBLE</t>
        </is>
      </c>
    </row>
    <row r="21">
      <c r="A21" s="13" t="inlineStr">
        <is>
          <t>Process</t>
        </is>
      </c>
      <c r="B21" s="13" t="inlineStr">
        <is>
          <t>Manual Effort</t>
        </is>
      </c>
      <c r="C21" s="13" t="inlineStr">
        <is>
          <t>Automation Option</t>
        </is>
      </c>
      <c r="D21" s="13" t="inlineStr">
        <is>
          <t>Implemented?</t>
        </is>
      </c>
    </row>
    <row r="22">
      <c r="A22" s="14" t="inlineStr">
        <is>
          <t>Data extraction from ERP</t>
        </is>
      </c>
      <c r="B22" s="14" t="inlineStr">
        <is>
          <t>High</t>
        </is>
      </c>
      <c r="C22" s="14" t="inlineStr">
        <is>
          <t>ERP reports, APIs</t>
        </is>
      </c>
      <c r="D22" s="9" t="n"/>
    </row>
    <row r="23">
      <c r="A23" s="14" t="inlineStr">
        <is>
          <t>Currency conversion</t>
        </is>
      </c>
      <c r="B23" s="14" t="inlineStr">
        <is>
          <t>Medium</t>
        </is>
      </c>
      <c r="C23" s="14" t="inlineStr">
        <is>
          <t>Automated FX feeds</t>
        </is>
      </c>
      <c r="D23" s="9" t="n"/>
    </row>
    <row r="24">
      <c r="A24" s="14" t="inlineStr">
        <is>
          <t>Validation checks</t>
        </is>
      </c>
      <c r="B24" s="14" t="inlineStr">
        <is>
          <t>High</t>
        </is>
      </c>
      <c r="C24" s="14" t="inlineStr">
        <is>
          <t>Calculator built-in rules</t>
        </is>
      </c>
      <c r="D24" s="9" t="n"/>
    </row>
    <row r="25">
      <c r="A25" s="14" t="inlineStr">
        <is>
          <t>XML generation</t>
        </is>
      </c>
      <c r="B25" s="14" t="inlineStr">
        <is>
          <t>Medium</t>
        </is>
      </c>
      <c r="C25" s="14" t="inlineStr">
        <is>
          <t>Export functionality</t>
        </is>
      </c>
      <c r="D25" s="9" t="n"/>
    </row>
    <row r="26">
      <c r="A26" s="14" t="inlineStr">
        <is>
          <t>Document management</t>
        </is>
      </c>
      <c r="B26" s="14" t="inlineStr">
        <is>
          <t>Medium</t>
        </is>
      </c>
      <c r="C26" s="14" t="inlineStr">
        <is>
          <t>SharePoint/Teams workflows</t>
        </is>
      </c>
      <c r="D26" s="9" t="n"/>
    </row>
    <row r="29">
      <c r="A29" s="12" t="inlineStr">
        <is>
          <t>4. BUILD REUSABLE INFRASTRUCTURE</t>
        </is>
      </c>
    </row>
    <row r="30">
      <c r="A30" s="13" t="inlineStr">
        <is>
          <t>Investment</t>
        </is>
      </c>
      <c r="B30" s="13" t="inlineStr">
        <is>
          <t>Year 1 Cost Impact</t>
        </is>
      </c>
      <c r="C30" s="13" t="inlineStr">
        <is>
          <t>Year 2+ Benefit</t>
        </is>
      </c>
      <c r="D30" s="13" t="inlineStr">
        <is>
          <t>Priority</t>
        </is>
      </c>
    </row>
    <row r="31">
      <c r="A31" s="14" t="inlineStr">
        <is>
          <t>Entity master database</t>
        </is>
      </c>
      <c r="B31" s="14" t="inlineStr">
        <is>
          <t>Higher setup</t>
        </is>
      </c>
      <c r="C31" s="14" t="inlineStr">
        <is>
          <t>Lower maintenance</t>
        </is>
      </c>
      <c r="D31" s="9" t="n"/>
    </row>
    <row r="32">
      <c r="A32" s="14" t="inlineStr">
        <is>
          <t>Standard data templates</t>
        </is>
      </c>
      <c r="B32" s="14" t="inlineStr">
        <is>
          <t>Development time</t>
        </is>
      </c>
      <c r="C32" s="14" t="inlineStr">
        <is>
          <t>Faster collection</t>
        </is>
      </c>
      <c r="D32" s="9" t="n"/>
    </row>
    <row r="33">
      <c r="A33" s="14" t="inlineStr">
        <is>
          <t>Automated extractions</t>
        </is>
      </c>
      <c r="B33" s="14" t="inlineStr">
        <is>
          <t>IT investment</t>
        </is>
      </c>
      <c r="C33" s="14" t="inlineStr">
        <is>
          <t>Reduced manual effort</t>
        </is>
      </c>
      <c r="D33" s="9" t="n"/>
    </row>
    <row r="34">
      <c r="A34" s="14" t="inlineStr">
        <is>
          <t>Documented processes</t>
        </is>
      </c>
      <c r="B34" s="14" t="inlineStr">
        <is>
          <t>Time to document</t>
        </is>
      </c>
      <c r="C34" s="14" t="inlineStr">
        <is>
          <t>Faster onboarding</t>
        </is>
      </c>
      <c r="D34" s="9" t="n"/>
    </row>
  </sheetData>
  <mergeCells count="5">
    <mergeCell ref="A1:D1"/>
    <mergeCell ref="A4:D4"/>
    <mergeCell ref="A20:D20"/>
    <mergeCell ref="A29:D29"/>
    <mergeCell ref="A11:D11"/>
  </mergeCells>
  <dataValidations count="1">
    <dataValidation sqref="B6 B7 B8" showDropDown="0" showInputMessage="0" showErrorMessage="0" allowBlank="1" type="list">
      <formula1>"Yes - All Jurisdictions,Yes - Some Jurisdictions,No,TBD"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2025-12-02T19:05:59Z</dcterms:created>
  <dcterms:modified xsi:type="dcterms:W3CDTF">2025-12-02T19:05:59Z</dcterms:modified>
</cp:coreProperties>
</file>