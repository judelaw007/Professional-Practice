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ection_1" sheetId="2" state="visible" r:id="rId2"/>
    <sheet name="Section_2" sheetId="3" state="visible" r:id="rId3"/>
    <sheet name="Section_3" sheetId="4" state="visible" r:id="rId4"/>
    <sheet name="Validation" sheetId="5" state="visible" r:id="rId5"/>
  </sheets>
  <definedNames>
    <definedName name="_xlnm._FilterDatabase" localSheetId="1" hidden="1">'Section_1'!$A$3:$N$13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</font>
    <font>
      <b val="1"/>
      <sz val="14"/>
    </font>
    <font>
      <b val="1"/>
    </font>
    <font>
      <b val="1"/>
      <color rgb="00FFFFFF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2F3"/>
        <bgColor rgb="00D9E2F3"/>
      </patternFill>
    </fill>
    <fill>
      <patternFill patternType="solid">
        <fgColor rgb="00538135"/>
        <bgColor rgb="00538135"/>
      </patternFill>
    </fill>
    <fill>
      <patternFill patternType="solid">
        <fgColor rgb="00C65911"/>
        <bgColor rgb="00C659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0" fontId="4" fillId="0" borderId="0" pivotButton="0" quotePrefix="0" xfId="0"/>
    <xf numFmtId="0" fontId="4" fillId="3" borderId="0" pivotButton="0" quotePrefix="0" xfId="0"/>
    <xf numFmtId="10" fontId="0" fillId="0" borderId="0" pivotButton="0" quotePrefix="0" xfId="0"/>
    <xf numFmtId="0" fontId="5" fillId="2" borderId="0" pivotButton="0" quotePrefix="0" xfId="0"/>
    <xf numFmtId="164" fontId="0" fillId="0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2" customWidth="1" min="5" max="5"/>
    <col width="18" customWidth="1" min="6" max="6"/>
  </cols>
  <sheetData>
    <row r="1">
      <c r="A1" s="1" t="inlineStr">
        <is>
          <t>GIR COMPLETION CALCULATOR</t>
        </is>
      </c>
    </row>
    <row r="2">
      <c r="A2" s="2" t="inlineStr">
        <is>
          <t>Per January 2025 OECD GloBE Information Return Template</t>
        </is>
      </c>
    </row>
    <row r="4">
      <c r="A4" s="3" t="inlineStr">
        <is>
          <t>OVERALL GIR COMPLETION</t>
        </is>
      </c>
    </row>
    <row r="6">
      <c r="A6" t="inlineStr">
        <is>
          <t>Section 1 - MNE Group Information:</t>
        </is>
      </c>
      <c r="C6" s="4">
        <f>IF(COUNTA(Section_1!D:D)&gt;0,COUNTIF(Section_1!M:M,"Complete")/COUNTA(Section_1!D:D),0)</f>
        <v/>
      </c>
    </row>
    <row r="7">
      <c r="A7" t="inlineStr">
        <is>
          <t>Section 2 - Safe Harbours &amp; Exclusions:</t>
        </is>
      </c>
      <c r="C7" s="4">
        <f>IF(COUNTA(Section_2!D:D)&gt;0,COUNTIF(Section_2!M:M,"Complete")/COUNTA(Section_2!D:D),0)</f>
        <v/>
      </c>
    </row>
    <row r="8">
      <c r="A8" t="inlineStr">
        <is>
          <t>Section 3 - GloBE Computations:</t>
        </is>
      </c>
      <c r="C8" s="4">
        <f>IF(COUNTA(Section_3!D:D)&gt;0,COUNTIF(Section_3!M:M,"Complete")/COUNTA(Section_3!D:D),0)</f>
        <v/>
      </c>
    </row>
    <row r="9">
      <c r="A9" s="5" t="inlineStr">
        <is>
          <t>TOTAL GIR COMPLETION:</t>
        </is>
      </c>
      <c r="C9" s="4">
        <f>AVERAGE(C6:C8)</f>
        <v/>
      </c>
    </row>
    <row r="11">
      <c r="A11" s="3" t="inlineStr">
        <is>
          <t>ETR CALCULATION SUMMARY</t>
        </is>
      </c>
    </row>
    <row r="13">
      <c r="A13" s="6" t="inlineStr">
        <is>
          <t>Jurisdiction</t>
        </is>
      </c>
      <c r="B13" s="6" t="inlineStr">
        <is>
          <t>GloBE Income</t>
        </is>
      </c>
      <c r="C13" s="6" t="inlineStr">
        <is>
          <t>Covered Taxes</t>
        </is>
      </c>
      <c r="D13" s="6" t="inlineStr">
        <is>
          <t>ETR</t>
        </is>
      </c>
      <c r="E13" s="6" t="inlineStr">
        <is>
          <t>Top-up %</t>
        </is>
      </c>
      <c r="F13" s="6" t="inlineStr">
        <is>
          <t>Status</t>
        </is>
      </c>
    </row>
    <row r="14">
      <c r="A14" t="inlineStr">
        <is>
          <t>United Kingdom</t>
        </is>
      </c>
      <c r="B14" t="n">
        <v>0</v>
      </c>
      <c r="C14" t="n">
        <v>0</v>
      </c>
      <c r="D14" s="7">
        <f>IF(B14&lt;&gt;0,C14/B14,0)</f>
        <v/>
      </c>
      <c r="E14" s="7">
        <f>MAX(0,0.15-D14)</f>
        <v/>
      </c>
      <c r="F14">
        <f>IF(D14&gt;=0.15,"No Top-up","Top-up Required")</f>
        <v/>
      </c>
    </row>
    <row r="15">
      <c r="A15" t="inlineStr">
        <is>
          <t>Germany</t>
        </is>
      </c>
      <c r="B15" t="n">
        <v>0</v>
      </c>
      <c r="C15" t="n">
        <v>0</v>
      </c>
      <c r="D15" s="7">
        <f>IF(B15&lt;&gt;0,C15/B15,0)</f>
        <v/>
      </c>
      <c r="E15" s="7">
        <f>MAX(0,0.15-D15)</f>
        <v/>
      </c>
      <c r="F15">
        <f>IF(D15&gt;=0.15,"No Top-up","Top-up Required")</f>
        <v/>
      </c>
    </row>
    <row r="16">
      <c r="A16" t="inlineStr">
        <is>
          <t>Netherlands</t>
        </is>
      </c>
      <c r="B16" t="n">
        <v>0</v>
      </c>
      <c r="C16" t="n">
        <v>0</v>
      </c>
      <c r="D16" s="7">
        <f>IF(B16&lt;&gt;0,C16/B16,0)</f>
        <v/>
      </c>
      <c r="E16" s="7">
        <f>MAX(0,0.15-D16)</f>
        <v/>
      </c>
      <c r="F16">
        <f>IF(D16&gt;=0.15,"No Top-up","Top-up Required")</f>
        <v/>
      </c>
    </row>
    <row r="17">
      <c r="A17" t="inlineStr">
        <is>
          <t>France</t>
        </is>
      </c>
      <c r="B17" t="n">
        <v>0</v>
      </c>
      <c r="C17" t="n">
        <v>0</v>
      </c>
      <c r="D17" s="7">
        <f>IF(B17&lt;&gt;0,C17/B17,0)</f>
        <v/>
      </c>
      <c r="E17" s="7">
        <f>MAX(0,0.15-D17)</f>
        <v/>
      </c>
      <c r="F17">
        <f>IF(D17&gt;=0.15,"No Top-up","Top-up Required")</f>
        <v/>
      </c>
    </row>
    <row r="18">
      <c r="A18" t="inlineStr">
        <is>
          <t>Ireland</t>
        </is>
      </c>
      <c r="B18" t="n">
        <v>0</v>
      </c>
      <c r="C18" t="n">
        <v>0</v>
      </c>
      <c r="D18" s="7">
        <f>IF(B18&lt;&gt;0,C18/B18,0)</f>
        <v/>
      </c>
      <c r="E18" s="7">
        <f>MAX(0,0.15-D18)</f>
        <v/>
      </c>
      <c r="F18">
        <f>IF(D18&gt;=0.15,"No Top-up","Top-up Required")</f>
        <v/>
      </c>
    </row>
    <row r="21">
      <c r="A21" s="3" t="inlineStr">
        <is>
          <t>SBIE TRANSITIONAL RATES</t>
        </is>
      </c>
    </row>
    <row r="23">
      <c r="A23" s="5" t="inlineStr">
        <is>
          <t>Fiscal Year</t>
        </is>
      </c>
      <c r="B23" s="5" t="inlineStr">
        <is>
          <t>Payroll Rate</t>
        </is>
      </c>
      <c r="C23" s="5" t="inlineStr">
        <is>
          <t>Asset Rate</t>
        </is>
      </c>
    </row>
    <row r="24">
      <c r="A24" t="inlineStr">
        <is>
          <t>2024</t>
        </is>
      </c>
      <c r="B24" t="inlineStr">
        <is>
          <t>9.8%</t>
        </is>
      </c>
      <c r="C24" t="inlineStr">
        <is>
          <t>7.8%</t>
        </is>
      </c>
    </row>
    <row r="25">
      <c r="A25" t="inlineStr">
        <is>
          <t>2025</t>
        </is>
      </c>
      <c r="B25" t="inlineStr">
        <is>
          <t>9.6%</t>
        </is>
      </c>
      <c r="C25" t="inlineStr">
        <is>
          <t>7.6%</t>
        </is>
      </c>
    </row>
    <row r="26">
      <c r="A26" t="inlineStr">
        <is>
          <t>2026</t>
        </is>
      </c>
      <c r="B26" t="inlineStr">
        <is>
          <t>9.4%</t>
        </is>
      </c>
      <c r="C26" t="inlineStr">
        <is>
          <t>7.4%</t>
        </is>
      </c>
    </row>
    <row r="27">
      <c r="A27" t="inlineStr">
        <is>
          <t>2027</t>
        </is>
      </c>
      <c r="B27" t="inlineStr">
        <is>
          <t>9.2%</t>
        </is>
      </c>
      <c r="C27" t="inlineStr">
        <is>
          <t>7.2%</t>
        </is>
      </c>
    </row>
    <row r="28">
      <c r="A28" t="inlineStr">
        <is>
          <t>2028</t>
        </is>
      </c>
      <c r="B28" t="inlineStr">
        <is>
          <t>9.0%</t>
        </is>
      </c>
      <c r="C28" t="inlineStr">
        <is>
          <t>7.0%</t>
        </is>
      </c>
    </row>
    <row r="29">
      <c r="A29" t="inlineStr">
        <is>
          <t>2029</t>
        </is>
      </c>
      <c r="B29" t="inlineStr">
        <is>
          <t>8.2%</t>
        </is>
      </c>
      <c r="C29" t="inlineStr">
        <is>
          <t>6.6%</t>
        </is>
      </c>
    </row>
    <row r="30">
      <c r="A30" t="inlineStr">
        <is>
          <t>2030</t>
        </is>
      </c>
      <c r="B30" t="inlineStr">
        <is>
          <t>7.4%</t>
        </is>
      </c>
      <c r="C30" t="inlineStr">
        <is>
          <t>6.2%</t>
        </is>
      </c>
    </row>
    <row r="31">
      <c r="A31" t="inlineStr">
        <is>
          <t>2031</t>
        </is>
      </c>
      <c r="B31" t="inlineStr">
        <is>
          <t>6.6%</t>
        </is>
      </c>
      <c r="C31" t="inlineStr">
        <is>
          <t>5.8%</t>
        </is>
      </c>
    </row>
    <row r="32">
      <c r="A32" t="inlineStr">
        <is>
          <t>2032</t>
        </is>
      </c>
      <c r="B32" t="inlineStr">
        <is>
          <t>5.8%</t>
        </is>
      </c>
      <c r="C32" t="inlineStr">
        <is>
          <t>5.4%</t>
        </is>
      </c>
    </row>
    <row r="33">
      <c r="A33" t="inlineStr">
        <is>
          <t>2033+</t>
        </is>
      </c>
      <c r="B33" t="inlineStr">
        <is>
          <t>5.0%</t>
        </is>
      </c>
      <c r="C33" t="inlineStr">
        <is>
          <t>5.0%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20" customWidth="1" min="3" max="3"/>
    <col width="20" customWidth="1" min="4" max="4"/>
    <col width="35" customWidth="1" min="5" max="5"/>
    <col width="10" customWidth="1" min="6" max="6"/>
    <col width="8" customWidth="1" min="7" max="7"/>
    <col width="25" customWidth="1" min="8" max="8"/>
    <col width="15" customWidth="1" min="9" max="9"/>
    <col width="15" customWidth="1" min="10" max="10"/>
    <col width="12" customWidth="1" min="11" max="11"/>
    <col width="12" customWidth="1" min="12" max="12"/>
    <col width="12" customWidth="1" min="13" max="13"/>
    <col width="25" customWidth="1" min="14" max="14"/>
  </cols>
  <sheetData>
    <row r="1">
      <c r="A1" s="3" t="inlineStr">
        <is>
          <t>GIR SECTION 1 - MNE GROUP INFORMATION</t>
        </is>
      </c>
    </row>
    <row r="3">
      <c r="A3" s="8" t="inlineStr">
        <is>
          <t>Row</t>
        </is>
      </c>
      <c r="B3" s="8" t="inlineStr">
        <is>
          <t>Sub-Section</t>
        </is>
      </c>
      <c r="C3" s="8" t="inlineStr">
        <is>
          <t>XML Element</t>
        </is>
      </c>
      <c r="D3" s="8" t="inlineStr">
        <is>
          <t>Field Name</t>
        </is>
      </c>
      <c r="E3" s="8" t="inlineStr">
        <is>
          <t>Description</t>
        </is>
      </c>
      <c r="F3" s="8" t="inlineStr">
        <is>
          <t>Data Type</t>
        </is>
      </c>
      <c r="G3" s="8" t="inlineStr">
        <is>
          <t>Required</t>
        </is>
      </c>
      <c r="H3" s="8" t="inlineStr">
        <is>
          <t>Validation Rule</t>
        </is>
      </c>
      <c r="I3" s="8" t="inlineStr">
        <is>
          <t>Input Value</t>
        </is>
      </c>
      <c r="J3" s="8" t="inlineStr">
        <is>
          <t>Calculated Value</t>
        </is>
      </c>
      <c r="K3" s="8" t="inlineStr">
        <is>
          <t>Source</t>
        </is>
      </c>
      <c r="L3" s="8" t="inlineStr">
        <is>
          <t>Owner</t>
        </is>
      </c>
      <c r="M3" s="8" t="inlineStr">
        <is>
          <t>Status</t>
        </is>
      </c>
      <c r="N3" s="8" t="inlineStr">
        <is>
          <t>Notes</t>
        </is>
      </c>
    </row>
    <row r="4">
      <c r="A4" t="n">
        <v>1</v>
      </c>
      <c r="B4" t="inlineStr">
        <is>
          <t>1.1</t>
        </is>
      </c>
      <c r="C4" t="inlineStr">
        <is>
          <t>FilingCE/Name</t>
        </is>
      </c>
      <c r="D4" t="inlineStr">
        <is>
          <t>Filing CE Name</t>
        </is>
      </c>
      <c r="E4" t="inlineStr">
        <is>
          <t>Legal name of Filing Constituent Entity</t>
        </is>
      </c>
      <c r="F4" t="inlineStr">
        <is>
          <t>String</t>
        </is>
      </c>
      <c r="G4" t="inlineStr">
        <is>
          <t>Yes</t>
        </is>
      </c>
      <c r="M4" t="inlineStr">
        <is>
          <t>Not Started</t>
        </is>
      </c>
    </row>
    <row r="5">
      <c r="A5" t="n">
        <v>2</v>
      </c>
      <c r="B5" t="inlineStr">
        <is>
          <t>1.1</t>
        </is>
      </c>
      <c r="C5" t="inlineStr">
        <is>
          <t>FilingCE/TIN</t>
        </is>
      </c>
      <c r="D5" t="inlineStr">
        <is>
          <t>Filing CE TIN</t>
        </is>
      </c>
      <c r="E5" t="inlineStr">
        <is>
          <t>Tax ID of Filing CE</t>
        </is>
      </c>
      <c r="F5" t="inlineStr">
        <is>
          <t>String</t>
        </is>
      </c>
      <c r="G5" t="inlineStr">
        <is>
          <t>Yes</t>
        </is>
      </c>
      <c r="M5" t="inlineStr">
        <is>
          <t>Not Started</t>
        </is>
      </c>
    </row>
    <row r="6">
      <c r="A6" t="n">
        <v>3</v>
      </c>
      <c r="B6" t="inlineStr">
        <is>
          <t>1.1</t>
        </is>
      </c>
      <c r="C6" t="inlineStr">
        <is>
          <t>FilingCE/Jurisdiction</t>
        </is>
      </c>
      <c r="D6" t="inlineStr">
        <is>
          <t>Filing CE Jurisdiction</t>
        </is>
      </c>
      <c r="E6" t="inlineStr">
        <is>
          <t>Country code of Filing CE</t>
        </is>
      </c>
      <c r="F6" t="inlineStr">
        <is>
          <t>CountryCode</t>
        </is>
      </c>
      <c r="G6" t="inlineStr">
        <is>
          <t>Yes</t>
        </is>
      </c>
      <c r="M6" t="inlineStr">
        <is>
          <t>Not Started</t>
        </is>
      </c>
    </row>
    <row r="7">
      <c r="A7" t="n">
        <v>4</v>
      </c>
      <c r="B7" t="inlineStr">
        <is>
          <t>1.2</t>
        </is>
      </c>
      <c r="C7" t="inlineStr">
        <is>
          <t>UPE/Name</t>
        </is>
      </c>
      <c r="D7" t="inlineStr">
        <is>
          <t>UPE Name</t>
        </is>
      </c>
      <c r="E7" t="inlineStr">
        <is>
          <t>Ultimate Parent Entity name</t>
        </is>
      </c>
      <c r="F7" t="inlineStr">
        <is>
          <t>String</t>
        </is>
      </c>
      <c r="G7" t="inlineStr">
        <is>
          <t>Yes</t>
        </is>
      </c>
      <c r="M7" t="inlineStr">
        <is>
          <t>Not Started</t>
        </is>
      </c>
    </row>
    <row r="8">
      <c r="A8" t="n">
        <v>5</v>
      </c>
      <c r="B8" t="inlineStr">
        <is>
          <t>1.2</t>
        </is>
      </c>
      <c r="C8" t="inlineStr">
        <is>
          <t>UPE/TIN</t>
        </is>
      </c>
      <c r="D8" t="inlineStr">
        <is>
          <t>UPE TIN</t>
        </is>
      </c>
      <c r="E8" t="inlineStr">
        <is>
          <t>Tax ID of UPE</t>
        </is>
      </c>
      <c r="F8" t="inlineStr">
        <is>
          <t>String</t>
        </is>
      </c>
      <c r="G8" t="inlineStr">
        <is>
          <t>Yes</t>
        </is>
      </c>
      <c r="M8" t="inlineStr">
        <is>
          <t>Not Started</t>
        </is>
      </c>
    </row>
    <row r="9">
      <c r="A9" t="n">
        <v>6</v>
      </c>
      <c r="B9" t="inlineStr">
        <is>
          <t>1.2</t>
        </is>
      </c>
      <c r="C9" t="inlineStr">
        <is>
          <t>UPE/Jurisdiction</t>
        </is>
      </c>
      <c r="D9" t="inlineStr">
        <is>
          <t>UPE Jurisdiction</t>
        </is>
      </c>
      <c r="E9" t="inlineStr">
        <is>
          <t>Country code of UPE</t>
        </is>
      </c>
      <c r="F9" t="inlineStr">
        <is>
          <t>CountryCode</t>
        </is>
      </c>
      <c r="G9" t="inlineStr">
        <is>
          <t>Yes</t>
        </is>
      </c>
      <c r="M9" t="inlineStr">
        <is>
          <t>Not Started</t>
        </is>
      </c>
    </row>
    <row r="10">
      <c r="A10" t="n">
        <v>7</v>
      </c>
      <c r="B10" t="inlineStr">
        <is>
          <t>1.3</t>
        </is>
      </c>
      <c r="C10" t="inlineStr">
        <is>
          <t>MNEGroup/Name</t>
        </is>
      </c>
      <c r="D10" t="inlineStr">
        <is>
          <t>Group Name</t>
        </is>
      </c>
      <c r="E10" t="inlineStr">
        <is>
          <t>Name of MNE Group</t>
        </is>
      </c>
      <c r="F10" t="inlineStr">
        <is>
          <t>String</t>
        </is>
      </c>
      <c r="G10" t="inlineStr">
        <is>
          <t>Yes</t>
        </is>
      </c>
      <c r="M10" t="inlineStr">
        <is>
          <t>Not Started</t>
        </is>
      </c>
    </row>
    <row r="11">
      <c r="A11" t="n">
        <v>8</v>
      </c>
      <c r="B11" t="inlineStr">
        <is>
          <t>1.3</t>
        </is>
      </c>
      <c r="C11" t="inlineStr">
        <is>
          <t>MNEGroup/FiscalYearEnd</t>
        </is>
      </c>
      <c r="D11" t="inlineStr">
        <is>
          <t>Fiscal Year End</t>
        </is>
      </c>
      <c r="E11" t="inlineStr">
        <is>
          <t>End date of reporting period</t>
        </is>
      </c>
      <c r="F11" t="inlineStr">
        <is>
          <t>Date</t>
        </is>
      </c>
      <c r="G11" t="inlineStr">
        <is>
          <t>Yes</t>
        </is>
      </c>
      <c r="M11" t="inlineStr">
        <is>
          <t>Not Started</t>
        </is>
      </c>
    </row>
    <row r="12">
      <c r="A12" t="n">
        <v>9</v>
      </c>
      <c r="B12" t="inlineStr">
        <is>
          <t>1.3</t>
        </is>
      </c>
      <c r="C12" t="inlineStr">
        <is>
          <t>MNEGroup/Currency</t>
        </is>
      </c>
      <c r="D12" t="inlineStr">
        <is>
          <t>Reporting Currency</t>
        </is>
      </c>
      <c r="E12" t="inlineStr">
        <is>
          <t>Currency for GIR amounts</t>
        </is>
      </c>
      <c r="F12" t="inlineStr">
        <is>
          <t>Currency</t>
        </is>
      </c>
      <c r="G12" t="inlineStr">
        <is>
          <t>Yes</t>
        </is>
      </c>
      <c r="M12" t="inlineStr">
        <is>
          <t>Not Started</t>
        </is>
      </c>
    </row>
    <row r="13">
      <c r="A13" t="n">
        <v>10</v>
      </c>
      <c r="B13" t="inlineStr">
        <is>
          <t>1.4</t>
        </is>
      </c>
      <c r="C13" t="inlineStr">
        <is>
          <t>ConstituentEntities/Count</t>
        </is>
      </c>
      <c r="D13" t="inlineStr">
        <is>
          <t>CE Count</t>
        </is>
      </c>
      <c r="E13" t="inlineStr">
        <is>
          <t>Number of Constituent Entities</t>
        </is>
      </c>
      <c r="F13" t="inlineStr">
        <is>
          <t>Integer</t>
        </is>
      </c>
      <c r="G13" t="inlineStr">
        <is>
          <t>Yes</t>
        </is>
      </c>
      <c r="M13" t="inlineStr">
        <is>
          <t>Not Started</t>
        </is>
      </c>
    </row>
    <row r="16">
      <c r="A16" s="5" t="inlineStr">
        <is>
          <t>SECTION 1 SUMMARY</t>
        </is>
      </c>
    </row>
    <row r="17">
      <c r="A17" t="inlineStr">
        <is>
          <t>Total Fields:</t>
        </is>
      </c>
      <c r="B17">
        <f>COUNTA(D4:D13)</f>
        <v/>
      </c>
    </row>
    <row r="18">
      <c r="A18" t="inlineStr">
        <is>
          <t>Completed:</t>
        </is>
      </c>
      <c r="B18">
        <f>COUNTIF(M4:M13,"Complete")</f>
        <v/>
      </c>
    </row>
    <row r="19">
      <c r="A19" t="inlineStr">
        <is>
          <t>Completion %:</t>
        </is>
      </c>
      <c r="B19" s="9">
        <f>IF(B17&gt;0,B18/B17,0)</f>
        <v/>
      </c>
    </row>
  </sheetData>
  <autoFilter ref="A3:N13"/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20" customWidth="1" min="3" max="3"/>
    <col width="20" customWidth="1" min="4" max="4"/>
    <col width="35" customWidth="1" min="5" max="5"/>
    <col width="10" customWidth="1" min="6" max="6"/>
    <col width="10" customWidth="1" min="7" max="7"/>
    <col width="25" customWidth="1" min="8" max="8"/>
    <col width="15" customWidth="1" min="9" max="9"/>
    <col width="15" customWidth="1" min="10" max="10"/>
    <col width="12" customWidth="1" min="11" max="11"/>
    <col width="12" customWidth="1" min="12" max="12"/>
    <col width="12" customWidth="1" min="13" max="13"/>
    <col width="25" customWidth="1" min="14" max="14"/>
  </cols>
  <sheetData>
    <row r="1">
      <c r="A1" s="3" t="inlineStr">
        <is>
          <t>GIR SECTION 2 - SAFE HARBOURS &amp; EXCLUSIONS</t>
        </is>
      </c>
    </row>
    <row r="3">
      <c r="A3" s="10" t="inlineStr">
        <is>
          <t>Row</t>
        </is>
      </c>
      <c r="B3" s="10" t="inlineStr">
        <is>
          <t>Sub-Section</t>
        </is>
      </c>
      <c r="C3" s="10" t="inlineStr">
        <is>
          <t>XML Element</t>
        </is>
      </c>
      <c r="D3" s="10" t="inlineStr">
        <is>
          <t>Field Name</t>
        </is>
      </c>
      <c r="E3" s="10" t="inlineStr">
        <is>
          <t>Description</t>
        </is>
      </c>
      <c r="F3" s="10" t="inlineStr">
        <is>
          <t>Data Type</t>
        </is>
      </c>
      <c r="G3" s="10" t="inlineStr">
        <is>
          <t>Required</t>
        </is>
      </c>
      <c r="H3" s="10" t="inlineStr">
        <is>
          <t>Validation Rule</t>
        </is>
      </c>
      <c r="I3" s="10" t="inlineStr">
        <is>
          <t>Input Value</t>
        </is>
      </c>
      <c r="J3" s="10" t="inlineStr">
        <is>
          <t>Calculated Value</t>
        </is>
      </c>
      <c r="K3" s="10" t="inlineStr">
        <is>
          <t>Source</t>
        </is>
      </c>
      <c r="L3" s="10" t="inlineStr">
        <is>
          <t>Owner</t>
        </is>
      </c>
      <c r="M3" s="10" t="inlineStr">
        <is>
          <t>Status</t>
        </is>
      </c>
      <c r="N3" s="10" t="inlineStr">
        <is>
          <t>Notes</t>
        </is>
      </c>
    </row>
    <row r="4">
      <c r="A4" t="n">
        <v>1</v>
      </c>
      <c r="B4" t="inlineStr">
        <is>
          <t>2.1</t>
        </is>
      </c>
      <c r="C4" t="inlineStr">
        <is>
          <t>TSH/Jurisdiction</t>
        </is>
      </c>
      <c r="D4" t="inlineStr">
        <is>
          <t>TSH Jurisdiction</t>
        </is>
      </c>
      <c r="E4" t="inlineStr">
        <is>
          <t>Jurisdiction claiming TSH</t>
        </is>
      </c>
      <c r="F4" t="inlineStr">
        <is>
          <t>CountryCode</t>
        </is>
      </c>
      <c r="G4" t="inlineStr">
        <is>
          <t>Conditional</t>
        </is>
      </c>
      <c r="M4" t="inlineStr">
        <is>
          <t>Not Started</t>
        </is>
      </c>
    </row>
    <row r="5">
      <c r="A5" t="n">
        <v>2</v>
      </c>
      <c r="B5" t="inlineStr">
        <is>
          <t>2.1</t>
        </is>
      </c>
      <c r="C5" t="inlineStr">
        <is>
          <t>TSH/Type</t>
        </is>
      </c>
      <c r="D5" t="inlineStr">
        <is>
          <t>TSH Type</t>
        </is>
      </c>
      <c r="E5" t="inlineStr">
        <is>
          <t>Type of TSH election</t>
        </is>
      </c>
      <c r="F5" t="inlineStr">
        <is>
          <t>Code</t>
        </is>
      </c>
      <c r="G5" t="inlineStr">
        <is>
          <t>Conditional</t>
        </is>
      </c>
      <c r="M5" t="inlineStr">
        <is>
          <t>Not Started</t>
        </is>
      </c>
    </row>
    <row r="6">
      <c r="A6" t="n">
        <v>3</v>
      </c>
      <c r="B6" t="inlineStr">
        <is>
          <t>2.1</t>
        </is>
      </c>
      <c r="C6" t="inlineStr">
        <is>
          <t>TSH/Revenue</t>
        </is>
      </c>
      <c r="D6" t="inlineStr">
        <is>
          <t>TSH Revenue</t>
        </is>
      </c>
      <c r="E6" t="inlineStr">
        <is>
          <t>Revenue for TSH test</t>
        </is>
      </c>
      <c r="F6" t="inlineStr">
        <is>
          <t>Monetary</t>
        </is>
      </c>
      <c r="G6" t="inlineStr">
        <is>
          <t>Conditional</t>
        </is>
      </c>
      <c r="M6" t="inlineStr">
        <is>
          <t>Not Started</t>
        </is>
      </c>
    </row>
    <row r="7">
      <c r="A7" t="n">
        <v>4</v>
      </c>
      <c r="B7" t="inlineStr">
        <is>
          <t>2.1</t>
        </is>
      </c>
      <c r="C7" t="inlineStr">
        <is>
          <t>TSH/Profit</t>
        </is>
      </c>
      <c r="D7" t="inlineStr">
        <is>
          <t>TSH Profit Before Tax</t>
        </is>
      </c>
      <c r="E7" t="inlineStr">
        <is>
          <t>PBT for TSH test</t>
        </is>
      </c>
      <c r="F7" t="inlineStr">
        <is>
          <t>Monetary</t>
        </is>
      </c>
      <c r="G7" t="inlineStr">
        <is>
          <t>Conditional</t>
        </is>
      </c>
      <c r="M7" t="inlineStr">
        <is>
          <t>Not Started</t>
        </is>
      </c>
    </row>
    <row r="8">
      <c r="A8" t="n">
        <v>5</v>
      </c>
      <c r="B8" t="inlineStr">
        <is>
          <t>2.1</t>
        </is>
      </c>
      <c r="C8" t="inlineStr">
        <is>
          <t>TSH/SimplifiedETR</t>
        </is>
      </c>
      <c r="D8" t="inlineStr">
        <is>
          <t>Simplified ETR</t>
        </is>
      </c>
      <c r="E8" t="inlineStr">
        <is>
          <t>ETR for TSH test</t>
        </is>
      </c>
      <c r="F8" t="inlineStr">
        <is>
          <t>Percentage</t>
        </is>
      </c>
      <c r="G8" t="inlineStr">
        <is>
          <t>Conditional</t>
        </is>
      </c>
      <c r="M8" t="inlineStr">
        <is>
          <t>Not Started</t>
        </is>
      </c>
    </row>
    <row r="9">
      <c r="A9" t="n">
        <v>6</v>
      </c>
      <c r="B9" t="inlineStr">
        <is>
          <t>2.2</t>
        </is>
      </c>
      <c r="C9" t="inlineStr">
        <is>
          <t>QDMTT/Jurisdiction</t>
        </is>
      </c>
      <c r="D9" t="inlineStr">
        <is>
          <t>QDMTT Jurisdiction</t>
        </is>
      </c>
      <c r="E9" t="inlineStr">
        <is>
          <t>Jurisdiction with QDMTT</t>
        </is>
      </c>
      <c r="F9" t="inlineStr">
        <is>
          <t>CountryCode</t>
        </is>
      </c>
      <c r="G9" t="inlineStr">
        <is>
          <t>Conditional</t>
        </is>
      </c>
      <c r="M9" t="inlineStr">
        <is>
          <t>Not Started</t>
        </is>
      </c>
    </row>
    <row r="10">
      <c r="A10" t="n">
        <v>7</v>
      </c>
      <c r="B10" t="inlineStr">
        <is>
          <t>2.2</t>
        </is>
      </c>
      <c r="C10" t="inlineStr">
        <is>
          <t>QDMTT/TopUpTax</t>
        </is>
      </c>
      <c r="D10" t="inlineStr">
        <is>
          <t>QDMTT Top-up Tax</t>
        </is>
      </c>
      <c r="E10" t="inlineStr">
        <is>
          <t>QDMTT amount paid</t>
        </is>
      </c>
      <c r="F10" t="inlineStr">
        <is>
          <t>Monetary</t>
        </is>
      </c>
      <c r="G10" t="inlineStr">
        <is>
          <t>Conditional</t>
        </is>
      </c>
      <c r="M10" t="inlineStr">
        <is>
          <t>Not Started</t>
        </is>
      </c>
    </row>
    <row r="11">
      <c r="A11" t="n">
        <v>8</v>
      </c>
      <c r="B11" t="inlineStr">
        <is>
          <t>2.3</t>
        </is>
      </c>
      <c r="C11" t="inlineStr">
        <is>
          <t>Exclusions/Type</t>
        </is>
      </c>
      <c r="D11" t="inlineStr">
        <is>
          <t>Exclusion Type</t>
        </is>
      </c>
      <c r="E11" t="inlineStr">
        <is>
          <t>Type of excluded entity</t>
        </is>
      </c>
      <c r="F11" t="inlineStr">
        <is>
          <t>Code</t>
        </is>
      </c>
      <c r="G11" t="inlineStr">
        <is>
          <t>Conditional</t>
        </is>
      </c>
      <c r="M11" t="inlineStr">
        <is>
          <t>Not Started</t>
        </is>
      </c>
    </row>
    <row r="12">
      <c r="A12" t="n">
        <v>9</v>
      </c>
      <c r="B12" t="inlineStr">
        <is>
          <t>2.3</t>
        </is>
      </c>
      <c r="C12" t="inlineStr">
        <is>
          <t>Exclusions/Entity</t>
        </is>
      </c>
      <c r="D12" t="inlineStr">
        <is>
          <t>Excluded Entity</t>
        </is>
      </c>
      <c r="E12" t="inlineStr">
        <is>
          <t>Name of excluded entity</t>
        </is>
      </c>
      <c r="F12" t="inlineStr">
        <is>
          <t>String</t>
        </is>
      </c>
      <c r="G12" t="inlineStr">
        <is>
          <t>Conditional</t>
        </is>
      </c>
      <c r="M12" t="inlineStr">
        <is>
          <t>Not Started</t>
        </is>
      </c>
    </row>
    <row r="15">
      <c r="A15" s="11" t="inlineStr">
        <is>
          <t>TRANSITIONAL SAFE HARBOUR TEST</t>
        </is>
      </c>
    </row>
    <row r="17">
      <c r="A17" s="5" t="inlineStr">
        <is>
          <t>Test Type</t>
        </is>
      </c>
      <c r="B17" s="5" t="inlineStr">
        <is>
          <t>Threshold</t>
        </is>
      </c>
      <c r="C17" s="5" t="inlineStr">
        <is>
          <t>Input Value</t>
        </is>
      </c>
      <c r="D17" s="5" t="inlineStr">
        <is>
          <t>Result</t>
        </is>
      </c>
    </row>
    <row r="18">
      <c r="A18" t="inlineStr">
        <is>
          <t>De Minimis Test (Revenue)</t>
        </is>
      </c>
      <c r="B18" t="inlineStr">
        <is>
          <t>&lt; EUR 10m</t>
        </is>
      </c>
      <c r="C18" t="n">
        <v>0</v>
      </c>
      <c r="D18">
        <f>IF(C18&lt;10000000,"PASS","FAIL")</f>
        <v/>
      </c>
    </row>
    <row r="19">
      <c r="A19" t="inlineStr">
        <is>
          <t>De Minimis Test (PBT)</t>
        </is>
      </c>
      <c r="B19" t="inlineStr">
        <is>
          <t>&lt; EUR 1m loss</t>
        </is>
      </c>
      <c r="C19" t="n">
        <v>0</v>
      </c>
      <c r="D19">
        <f>IF(C19&lt;1000000,"PASS","FAIL")</f>
        <v/>
      </c>
    </row>
    <row r="20">
      <c r="A20" t="inlineStr">
        <is>
          <t>Simplified ETR Test</t>
        </is>
      </c>
      <c r="B20" t="inlineStr">
        <is>
          <t>&gt;= Transition Rate</t>
        </is>
      </c>
      <c r="C20" s="7" t="n">
        <v>0</v>
      </c>
      <c r="D20">
        <f>IF(C20&gt;=0.15,"PASS","FAIL")</f>
        <v/>
      </c>
    </row>
    <row r="21">
      <c r="A21" t="inlineStr">
        <is>
          <t>Routine Profits Test</t>
        </is>
      </c>
      <c r="B21" t="inlineStr">
        <is>
          <t>PBT &lt;= SBIE</t>
        </is>
      </c>
      <c r="C21" t="n">
        <v>0</v>
      </c>
      <c r="D21">
        <f>IF(C21&lt;=0,"PASS","FAIL")</f>
        <v/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30" customWidth="1" min="3" max="3"/>
    <col width="20" customWidth="1" min="4" max="4"/>
    <col width="30" customWidth="1" min="5" max="5"/>
    <col width="10" customWidth="1" min="6" max="6"/>
    <col width="15" customWidth="1" min="7" max="7"/>
    <col width="15" customWidth="1" min="8" max="8"/>
    <col width="15" customWidth="1" min="9" max="9"/>
    <col width="25" customWidth="1" min="10" max="10"/>
    <col width="12" customWidth="1" min="11" max="11"/>
    <col width="12" customWidth="1" min="12" max="12"/>
    <col width="12" customWidth="1" min="13" max="13"/>
    <col width="25" customWidth="1" min="14" max="14"/>
  </cols>
  <sheetData>
    <row r="1">
      <c r="A1" s="3" t="inlineStr">
        <is>
          <t>GIR SECTION 3 - GloBE COMPUTATIONS (Per Jurisdiction)</t>
        </is>
      </c>
    </row>
    <row r="3">
      <c r="A3" s="12" t="inlineStr">
        <is>
          <t>Row</t>
        </is>
      </c>
      <c r="B3" s="12" t="inlineStr">
        <is>
          <t>Sub-Section</t>
        </is>
      </c>
      <c r="C3" s="12" t="inlineStr">
        <is>
          <t>XML Element</t>
        </is>
      </c>
      <c r="D3" s="12" t="inlineStr">
        <is>
          <t>Field Name</t>
        </is>
      </c>
      <c r="E3" s="12" t="inlineStr">
        <is>
          <t>Description</t>
        </is>
      </c>
      <c r="F3" s="12" t="inlineStr">
        <is>
          <t>Data Type</t>
        </is>
      </c>
      <c r="G3" s="12" t="inlineStr">
        <is>
          <t>Input GBP</t>
        </is>
      </c>
      <c r="H3" s="12" t="inlineStr">
        <is>
          <t>Input EUR</t>
        </is>
      </c>
      <c r="I3" s="12" t="inlineStr">
        <is>
          <t>Calculated</t>
        </is>
      </c>
      <c r="J3" s="12" t="inlineStr">
        <is>
          <t>Formula</t>
        </is>
      </c>
      <c r="K3" s="12" t="inlineStr">
        <is>
          <t>Validation</t>
        </is>
      </c>
      <c r="L3" s="12" t="inlineStr">
        <is>
          <t>Source</t>
        </is>
      </c>
      <c r="M3" s="12" t="inlineStr">
        <is>
          <t>Status</t>
        </is>
      </c>
      <c r="N3" s="12" t="inlineStr">
        <is>
          <t>Notes</t>
        </is>
      </c>
    </row>
    <row r="4">
      <c r="A4" t="n">
        <v>1</v>
      </c>
      <c r="B4" t="inlineStr">
        <is>
          <t>3.1</t>
        </is>
      </c>
      <c r="C4" t="inlineStr">
        <is>
          <t>GloBEIncome/FinancialAccountingNetIncome</t>
        </is>
      </c>
      <c r="D4" t="inlineStr">
        <is>
          <t>Net Income/Loss</t>
        </is>
      </c>
      <c r="E4" t="inlineStr">
        <is>
          <t>Financial accounting net income</t>
        </is>
      </c>
      <c r="F4" t="inlineStr">
        <is>
          <t>Monetary</t>
        </is>
      </c>
      <c r="M4" t="inlineStr">
        <is>
          <t>Not Started</t>
        </is>
      </c>
    </row>
    <row r="5">
      <c r="A5" t="n">
        <v>2</v>
      </c>
      <c r="B5" t="inlineStr">
        <is>
          <t>3.1</t>
        </is>
      </c>
      <c r="C5" t="inlineStr">
        <is>
          <t>GloBEIncome/AdjustmentsTotal</t>
        </is>
      </c>
      <c r="D5" t="inlineStr">
        <is>
          <t>Total Adjustments</t>
        </is>
      </c>
      <c r="E5" t="inlineStr">
        <is>
          <t>Sum of all GloBE adjustments</t>
        </is>
      </c>
      <c r="F5" t="inlineStr">
        <is>
          <t>Monetary</t>
        </is>
      </c>
      <c r="M5" t="inlineStr">
        <is>
          <t>Not Started</t>
        </is>
      </c>
    </row>
    <row r="6">
      <c r="A6" t="n">
        <v>3</v>
      </c>
      <c r="B6" t="inlineStr">
        <is>
          <t>3.1</t>
        </is>
      </c>
      <c r="C6" t="inlineStr">
        <is>
          <t>GloBEIncome/GloBENetIncome</t>
        </is>
      </c>
      <c r="D6" t="inlineStr">
        <is>
          <t>GloBE Net Income</t>
        </is>
      </c>
      <c r="E6" t="inlineStr">
        <is>
          <t>Net Income + Adjustments</t>
        </is>
      </c>
      <c r="F6" t="inlineStr">
        <is>
          <t>Monetary</t>
        </is>
      </c>
      <c r="I6">
        <f>G4+G5</f>
        <v/>
      </c>
      <c r="J6">
        <f>G4+G5</f>
        <v/>
      </c>
      <c r="M6" t="inlineStr">
        <is>
          <t>Not Started</t>
        </is>
      </c>
    </row>
    <row r="7">
      <c r="A7" t="n">
        <v>4</v>
      </c>
      <c r="B7" t="inlineStr">
        <is>
          <t>3.2</t>
        </is>
      </c>
      <c r="C7" t="inlineStr">
        <is>
          <t>CoveredTaxes/CurrentTaxExpense</t>
        </is>
      </c>
      <c r="D7" t="inlineStr">
        <is>
          <t>Current Tax Expense</t>
        </is>
      </c>
      <c r="E7" t="inlineStr">
        <is>
          <t>Current year tax expense</t>
        </is>
      </c>
      <c r="F7" t="inlineStr">
        <is>
          <t>Monetary</t>
        </is>
      </c>
      <c r="M7" t="inlineStr">
        <is>
          <t>Not Started</t>
        </is>
      </c>
    </row>
    <row r="8">
      <c r="A8" t="n">
        <v>5</v>
      </c>
      <c r="B8" t="inlineStr">
        <is>
          <t>3.2</t>
        </is>
      </c>
      <c r="C8" t="inlineStr">
        <is>
          <t>CoveredTaxes/DeferredTaxAdjustment</t>
        </is>
      </c>
      <c r="D8" t="inlineStr">
        <is>
          <t>Deferred Tax Adjustment</t>
        </is>
      </c>
      <c r="E8" t="inlineStr">
        <is>
          <t>DTL/DTA adjustments</t>
        </is>
      </c>
      <c r="F8" t="inlineStr">
        <is>
          <t>Monetary</t>
        </is>
      </c>
      <c r="M8" t="inlineStr">
        <is>
          <t>Not Started</t>
        </is>
      </c>
    </row>
    <row r="9">
      <c r="A9" t="n">
        <v>6</v>
      </c>
      <c r="B9" t="inlineStr">
        <is>
          <t>3.2</t>
        </is>
      </c>
      <c r="C9" t="inlineStr">
        <is>
          <t>CoveredTaxes/TotalAdjustedCoveredTaxes</t>
        </is>
      </c>
      <c r="D9" t="inlineStr">
        <is>
          <t>Adjusted Covered Taxes</t>
        </is>
      </c>
      <c r="E9" t="inlineStr">
        <is>
          <t>Total adjusted covered taxes</t>
        </is>
      </c>
      <c r="F9" t="inlineStr">
        <is>
          <t>Monetary</t>
        </is>
      </c>
      <c r="I9">
        <f>G7+G8</f>
        <v/>
      </c>
      <c r="J9">
        <f>G7+G8</f>
        <v/>
      </c>
      <c r="M9" t="inlineStr">
        <is>
          <t>Not Started</t>
        </is>
      </c>
    </row>
    <row r="10">
      <c r="A10" t="n">
        <v>7</v>
      </c>
      <c r="B10" t="inlineStr">
        <is>
          <t>3.3</t>
        </is>
      </c>
      <c r="C10" t="inlineStr">
        <is>
          <t>ETR/JurisdictionalETR</t>
        </is>
      </c>
      <c r="D10" t="inlineStr">
        <is>
          <t>Jurisdictional ETR</t>
        </is>
      </c>
      <c r="E10" t="inlineStr">
        <is>
          <t>Covered Taxes / GloBE Income</t>
        </is>
      </c>
      <c r="F10" t="inlineStr">
        <is>
          <t>Percentage</t>
        </is>
      </c>
      <c r="I10" s="7">
        <f>IF(I6&lt;&gt;0,I9/I6,0)</f>
        <v/>
      </c>
      <c r="J10" t="inlineStr">
        <is>
          <t>Covered Taxes / GloBE Income</t>
        </is>
      </c>
      <c r="M10" t="inlineStr">
        <is>
          <t>Not Started</t>
        </is>
      </c>
    </row>
    <row r="11">
      <c r="A11" t="n">
        <v>8</v>
      </c>
      <c r="B11" t="inlineStr">
        <is>
          <t>3.4</t>
        </is>
      </c>
      <c r="C11" t="inlineStr">
        <is>
          <t>SBIE/EligiblePayrollCosts</t>
        </is>
      </c>
      <c r="D11" t="inlineStr">
        <is>
          <t>Eligible Payroll</t>
        </is>
      </c>
      <c r="E11" t="inlineStr">
        <is>
          <t>Eligible payroll costs</t>
        </is>
      </c>
      <c r="F11" t="inlineStr">
        <is>
          <t>Monetary</t>
        </is>
      </c>
      <c r="M11" t="inlineStr">
        <is>
          <t>Not Started</t>
        </is>
      </c>
    </row>
    <row r="12">
      <c r="A12" t="n">
        <v>9</v>
      </c>
      <c r="B12" t="inlineStr">
        <is>
          <t>3.4</t>
        </is>
      </c>
      <c r="C12" t="inlineStr">
        <is>
          <t>SBIE/EligibleTangibleAssets</t>
        </is>
      </c>
      <c r="D12" t="inlineStr">
        <is>
          <t>Eligible Assets</t>
        </is>
      </c>
      <c r="E12" t="inlineStr">
        <is>
          <t>NBV of tangible assets</t>
        </is>
      </c>
      <c r="F12" t="inlineStr">
        <is>
          <t>Monetary</t>
        </is>
      </c>
      <c r="M12" t="inlineStr">
        <is>
          <t>Not Started</t>
        </is>
      </c>
    </row>
    <row r="13">
      <c r="A13" t="n">
        <v>10</v>
      </c>
      <c r="B13" t="inlineStr">
        <is>
          <t>3.4</t>
        </is>
      </c>
      <c r="C13" t="inlineStr">
        <is>
          <t>SBIE/PayrollCarveOut</t>
        </is>
      </c>
      <c r="D13" t="inlineStr">
        <is>
          <t>Payroll Carve-out</t>
        </is>
      </c>
      <c r="E13" t="inlineStr">
        <is>
          <t>Payroll × Transitional Rate</t>
        </is>
      </c>
      <c r="F13" t="inlineStr">
        <is>
          <t>Monetary</t>
        </is>
      </c>
      <c r="I13">
        <f>G11*0.098</f>
        <v/>
      </c>
      <c r="J13" t="inlineStr">
        <is>
          <t>Payroll × 9.8%</t>
        </is>
      </c>
      <c r="M13" t="inlineStr">
        <is>
          <t>Not Started</t>
        </is>
      </c>
    </row>
    <row r="14">
      <c r="A14" t="n">
        <v>11</v>
      </c>
      <c r="B14" t="inlineStr">
        <is>
          <t>3.4</t>
        </is>
      </c>
      <c r="C14" t="inlineStr">
        <is>
          <t>SBIE/AssetCarveOut</t>
        </is>
      </c>
      <c r="D14" t="inlineStr">
        <is>
          <t>Asset Carve-out</t>
        </is>
      </c>
      <c r="E14" t="inlineStr">
        <is>
          <t>Assets × Transitional Rate</t>
        </is>
      </c>
      <c r="F14" t="inlineStr">
        <is>
          <t>Monetary</t>
        </is>
      </c>
      <c r="I14">
        <f>G12*0.078</f>
        <v/>
      </c>
      <c r="J14" t="inlineStr">
        <is>
          <t>Assets × 7.8%</t>
        </is>
      </c>
      <c r="M14" t="inlineStr">
        <is>
          <t>Not Started</t>
        </is>
      </c>
    </row>
    <row r="15">
      <c r="A15" t="n">
        <v>12</v>
      </c>
      <c r="B15" t="inlineStr">
        <is>
          <t>3.4</t>
        </is>
      </c>
      <c r="C15" t="inlineStr">
        <is>
          <t>SBIE/TotalSBIE</t>
        </is>
      </c>
      <c r="D15" t="inlineStr">
        <is>
          <t>Total SBIE</t>
        </is>
      </c>
      <c r="E15" t="inlineStr">
        <is>
          <t>Sum of carve-outs</t>
        </is>
      </c>
      <c r="F15" t="inlineStr">
        <is>
          <t>Monetary</t>
        </is>
      </c>
      <c r="I15">
        <f>I13+I14</f>
        <v/>
      </c>
      <c r="J15" t="inlineStr">
        <is>
          <t>Payroll CO + Asset CO</t>
        </is>
      </c>
      <c r="M15" t="inlineStr">
        <is>
          <t>Not Started</t>
        </is>
      </c>
    </row>
    <row r="16">
      <c r="A16" t="n">
        <v>13</v>
      </c>
      <c r="B16" t="inlineStr">
        <is>
          <t>3.5</t>
        </is>
      </c>
      <c r="C16" t="inlineStr">
        <is>
          <t>TopUp/ExcessProfit</t>
        </is>
      </c>
      <c r="D16" t="inlineStr">
        <is>
          <t>Excess Profit</t>
        </is>
      </c>
      <c r="E16" t="inlineStr">
        <is>
          <t>GloBE Income - SBIE</t>
        </is>
      </c>
      <c r="F16" t="inlineStr">
        <is>
          <t>Monetary</t>
        </is>
      </c>
      <c r="I16">
        <f>MAX(0,I6-I15)</f>
        <v/>
      </c>
      <c r="J16" t="inlineStr">
        <is>
          <t>GloBE Income - SBIE</t>
        </is>
      </c>
      <c r="M16" t="inlineStr">
        <is>
          <t>Not Started</t>
        </is>
      </c>
    </row>
    <row r="17">
      <c r="A17" t="n">
        <v>14</v>
      </c>
      <c r="B17" t="inlineStr">
        <is>
          <t>3.5</t>
        </is>
      </c>
      <c r="C17" t="inlineStr">
        <is>
          <t>TopUp/TopUpPercentage</t>
        </is>
      </c>
      <c r="D17" t="inlineStr">
        <is>
          <t>Top-up Percentage</t>
        </is>
      </c>
      <c r="E17" t="inlineStr">
        <is>
          <t>15% - ETR</t>
        </is>
      </c>
      <c r="F17" t="inlineStr">
        <is>
          <t>Percentage</t>
        </is>
      </c>
      <c r="I17" s="7">
        <f>MAX(0,0.15-I10)</f>
        <v/>
      </c>
      <c r="J17" t="inlineStr">
        <is>
          <t>15% - ETR</t>
        </is>
      </c>
      <c r="M17" t="inlineStr">
        <is>
          <t>Not Started</t>
        </is>
      </c>
    </row>
    <row r="18">
      <c r="A18" t="n">
        <v>15</v>
      </c>
      <c r="B18" t="inlineStr">
        <is>
          <t>3.5</t>
        </is>
      </c>
      <c r="C18" t="inlineStr">
        <is>
          <t>TopUp/JurisdictionalTopUpTax</t>
        </is>
      </c>
      <c r="D18" t="inlineStr">
        <is>
          <t>Jurisdictional Top-up</t>
        </is>
      </c>
      <c r="E18" t="inlineStr">
        <is>
          <t>Excess Profit × Top-up %</t>
        </is>
      </c>
      <c r="F18" t="inlineStr">
        <is>
          <t>Monetary</t>
        </is>
      </c>
      <c r="I18">
        <f>I16*I17</f>
        <v/>
      </c>
      <c r="J18" t="inlineStr">
        <is>
          <t>Excess Profit × Top-up %</t>
        </is>
      </c>
      <c r="M18" t="inlineStr">
        <is>
          <t>Not Started</t>
        </is>
      </c>
    </row>
    <row r="19">
      <c r="A19" t="n">
        <v>16</v>
      </c>
      <c r="B19" t="inlineStr">
        <is>
          <t>3.6</t>
        </is>
      </c>
      <c r="C19" t="inlineStr">
        <is>
          <t>Allocation/IIRAmount</t>
        </is>
      </c>
      <c r="D19" t="inlineStr">
        <is>
          <t>IIR Allocation</t>
        </is>
      </c>
      <c r="E19" t="inlineStr">
        <is>
          <t>IIR allocated amount</t>
        </is>
      </c>
      <c r="F19" t="inlineStr">
        <is>
          <t>Monetary</t>
        </is>
      </c>
      <c r="M19" t="inlineStr">
        <is>
          <t>Not Started</t>
        </is>
      </c>
    </row>
    <row r="20">
      <c r="A20" t="n">
        <v>17</v>
      </c>
      <c r="B20" t="inlineStr">
        <is>
          <t>3.6</t>
        </is>
      </c>
      <c r="C20" t="inlineStr">
        <is>
          <t>Allocation/UTPRAmount</t>
        </is>
      </c>
      <c r="D20" t="inlineStr">
        <is>
          <t>UTPR Allocation</t>
        </is>
      </c>
      <c r="E20" t="inlineStr">
        <is>
          <t>UTPR allocated amount</t>
        </is>
      </c>
      <c r="F20" t="inlineStr">
        <is>
          <t>Monetary</t>
        </is>
      </c>
      <c r="M20" t="inlineStr">
        <is>
          <t>Not Started</t>
        </is>
      </c>
    </row>
    <row r="21">
      <c r="A21" t="n">
        <v>18</v>
      </c>
      <c r="B21" t="inlineStr">
        <is>
          <t>3.6</t>
        </is>
      </c>
      <c r="C21" t="inlineStr">
        <is>
          <t>Allocation/QDMTTCredit</t>
        </is>
      </c>
      <c r="D21" t="inlineStr">
        <is>
          <t>QDMTT Credit</t>
        </is>
      </c>
      <c r="E21" t="inlineStr">
        <is>
          <t>QDMTT paid (credit)</t>
        </is>
      </c>
      <c r="F21" t="inlineStr">
        <is>
          <t>Monetary</t>
        </is>
      </c>
      <c r="M21" t="inlineStr">
        <is>
          <t>Not Started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15" customWidth="1" min="3" max="3"/>
    <col width="15" customWidth="1" min="4" max="4"/>
    <col width="30" customWidth="1" min="5" max="5"/>
  </cols>
  <sheetData>
    <row r="1">
      <c r="A1" s="3" t="inlineStr">
        <is>
          <t>GIR VALIDATION CHECKLIST</t>
        </is>
      </c>
    </row>
    <row r="3">
      <c r="A3" s="6" t="inlineStr">
        <is>
          <t>Validation Check</t>
        </is>
      </c>
      <c r="B3" s="6" t="inlineStr">
        <is>
          <t>Expected</t>
        </is>
      </c>
      <c r="C3" s="6" t="inlineStr">
        <is>
          <t>Actual</t>
        </is>
      </c>
      <c r="D3" s="6" t="inlineStr">
        <is>
          <t>Result</t>
        </is>
      </c>
      <c r="E3" s="6" t="inlineStr">
        <is>
          <t>Notes</t>
        </is>
      </c>
    </row>
    <row r="4">
      <c r="A4" t="inlineStr">
        <is>
          <t>ETR Calculation Check</t>
        </is>
      </c>
      <c r="B4">
        <f> Covered Taxes / GloBE Income</f>
        <v/>
      </c>
      <c r="C4">
        <f>Section_3!I10</f>
        <v/>
      </c>
      <c r="D4">
        <f>IF(C4=B4,"PASS","CHECK")</f>
        <v/>
      </c>
    </row>
    <row r="5">
      <c r="A5" t="inlineStr">
        <is>
          <t>SBIE Total Check</t>
        </is>
      </c>
      <c r="B5">
        <f> Payroll CO + Asset CO</f>
        <v/>
      </c>
      <c r="C5">
        <f>Section_3!I15</f>
        <v/>
      </c>
      <c r="D5">
        <f>IF(C5=B5,"PASS","CHECK")</f>
        <v/>
      </c>
    </row>
    <row r="6">
      <c r="A6" t="inlineStr">
        <is>
          <t>Top-up % Check</t>
        </is>
      </c>
      <c r="B6">
        <f> MAX(0, 15% - ETR)</f>
        <v/>
      </c>
      <c r="C6">
        <f>Section_3!I17</f>
        <v/>
      </c>
      <c r="D6">
        <f>IF(C6&gt;=0,"PASS","CHECK")</f>
        <v/>
      </c>
    </row>
    <row r="7">
      <c r="A7" t="inlineStr">
        <is>
          <t>Excess Profit Check</t>
        </is>
      </c>
      <c r="B7">
        <f> GloBE Income - SBIE (&gt;=0)</f>
        <v/>
      </c>
      <c r="C7">
        <f>Section_3!I16</f>
        <v/>
      </c>
      <c r="D7">
        <f>IF(C7&gt;=0,"PASS","CHECK")</f>
        <v/>
      </c>
    </row>
    <row r="8">
      <c r="A8" t="inlineStr">
        <is>
          <t>All Required Fields Complete</t>
        </is>
      </c>
      <c r="B8">
        <f> 100%</f>
        <v/>
      </c>
      <c r="C8">
        <f>Dashboard!C9</f>
        <v/>
      </c>
      <c r="D8">
        <f>IF(C8&gt;=1,"PASS","INCOMPLETE")</f>
        <v/>
      </c>
    </row>
    <row r="9">
      <c r="A9" t="inlineStr">
        <is>
          <t>Section 1 Complete</t>
        </is>
      </c>
      <c r="B9">
        <f> 100%</f>
        <v/>
      </c>
      <c r="C9">
        <f>Dashboard!C6</f>
        <v/>
      </c>
      <c r="D9">
        <f>IF(C9&gt;=1,"PASS","INCOMPLETE")</f>
        <v/>
      </c>
    </row>
    <row r="10">
      <c r="A10" t="inlineStr">
        <is>
          <t>Section 2 Complete</t>
        </is>
      </c>
      <c r="B10">
        <f> 100%</f>
        <v/>
      </c>
      <c r="C10">
        <f>Dashboard!C7</f>
        <v/>
      </c>
      <c r="D10">
        <f>IF(C10&gt;=1,"PASS","INCOMPLETE")</f>
        <v/>
      </c>
    </row>
    <row r="11">
      <c r="A11" t="inlineStr">
        <is>
          <t>Section 3 Complete</t>
        </is>
      </c>
      <c r="B11">
        <f> 100%</f>
        <v/>
      </c>
      <c r="C11">
        <f>Dashboard!C8</f>
        <v/>
      </c>
      <c r="D11">
        <f>IF(C11&gt;=1,"PASS","INCOMPLETE")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2025-12-02T14:23:54Z</dcterms:created>
  <dcterms:modified xsi:type="dcterms:W3CDTF">2025-12-02T14:23:54Z</dcterms:modified>
</cp:coreProperties>
</file>