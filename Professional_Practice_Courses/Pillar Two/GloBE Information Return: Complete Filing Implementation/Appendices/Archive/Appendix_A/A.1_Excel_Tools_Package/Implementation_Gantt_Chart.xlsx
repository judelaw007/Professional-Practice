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roject_Setup" sheetId="2" state="visible" r:id="rId2"/>
    <sheet name="Timeline_Summary" sheetId="3" state="visible" r:id="rId3"/>
    <sheet name="Gantt_Chart" sheetId="4" state="visible" r:id="rId4"/>
    <sheet name="Milestones" sheetId="5" state="visible" r:id="rId5"/>
    <sheet name="Resource_Allocation" sheetId="6" state="visible" r:id="rId6"/>
    <sheet name="Critical_Path" sheetId="7" state="visible" r:id="rId7"/>
    <sheet name="Risk_Register" sheetId="8" state="visible" r:id="rId8"/>
  </sheets>
  <definedNames/>
  <calcPr calcId="124519" fullCalcOnLoad="1"/>
</workbook>
</file>

<file path=xl/styles.xml><?xml version="1.0" encoding="utf-8"?>
<styleSheet xmlns="http://schemas.openxmlformats.org/spreadsheetml/2006/main">
  <numFmts count="1">
    <numFmt numFmtId="164" formatCode="DD-MMM-YYYY"/>
  </numFmts>
  <fonts count="11">
    <font>
      <name val="Calibri"/>
      <family val="2"/>
      <color theme="1"/>
      <sz val="11"/>
      <scheme val="minor"/>
    </font>
    <font>
      <b val="1"/>
      <color rgb="001F4E79"/>
      <sz val="18"/>
    </font>
    <font>
      <b val="1"/>
      <color rgb="001F4E79"/>
      <sz val="12"/>
    </font>
    <font>
      <b val="1"/>
    </font>
    <font>
      <color rgb="00FFFFFF"/>
    </font>
    <font>
      <i val="1"/>
      <color rgb="00666666"/>
    </font>
    <font>
      <b val="1"/>
      <color rgb="001F4E79"/>
      <sz val="14"/>
    </font>
    <font>
      <b val="1"/>
      <color rgb="00FFFFFF"/>
      <sz val="11"/>
    </font>
    <font>
      <b val="1"/>
      <color rgb="00FFFFFF"/>
    </font>
    <font>
      <b val="1"/>
      <color rgb="00000000"/>
    </font>
    <font>
      <b val="1"/>
      <color rgb="00C00000"/>
    </font>
  </fonts>
  <fills count="12">
    <fill>
      <patternFill/>
    </fill>
    <fill>
      <patternFill patternType="gray125"/>
    </fill>
    <fill>
      <patternFill patternType="solid">
        <fgColor rgb="004472C4"/>
        <bgColor rgb="004472C4"/>
      </patternFill>
    </fill>
    <fill>
      <patternFill patternType="solid">
        <fgColor rgb="005B9BD5"/>
        <bgColor rgb="005B9BD5"/>
      </patternFill>
    </fill>
    <fill>
      <patternFill patternType="solid">
        <fgColor rgb="0070AD47"/>
        <bgColor rgb="0070AD47"/>
      </patternFill>
    </fill>
    <fill>
      <patternFill patternType="solid">
        <fgColor rgb="00FFC000"/>
        <bgColor rgb="00FFC000"/>
      </patternFill>
    </fill>
    <fill>
      <patternFill patternType="solid">
        <fgColor rgb="00ED7D31"/>
        <bgColor rgb="00ED7D31"/>
      </patternFill>
    </fill>
    <fill>
      <patternFill patternType="solid">
        <fgColor rgb="00C00000"/>
        <bgColor rgb="00C00000"/>
      </patternFill>
    </fill>
    <fill>
      <patternFill patternType="solid">
        <fgColor rgb="00FFFFCC"/>
        <bgColor rgb="00FFFFCC"/>
      </patternFill>
    </fill>
    <fill>
      <patternFill patternType="solid">
        <fgColor rgb="00E2EFDA"/>
        <bgColor rgb="00E2EFDA"/>
      </patternFill>
    </fill>
    <fill>
      <patternFill patternType="solid">
        <fgColor rgb="001F4E79"/>
        <bgColor rgb="001F4E79"/>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4" fillId="4" borderId="0" pivotButton="0" quotePrefix="0" xfId="0"/>
    <xf numFmtId="0" fontId="0" fillId="5" borderId="0" pivotButton="0" quotePrefix="0" xfId="0"/>
    <xf numFmtId="0" fontId="4" fillId="6" borderId="0" pivotButton="0" quotePrefix="0" xfId="0"/>
    <xf numFmtId="0" fontId="4" fillId="7" borderId="0" pivotButton="0" quotePrefix="0" xfId="0"/>
    <xf numFmtId="0" fontId="5" fillId="0" borderId="0" pivotButton="0" quotePrefix="0" xfId="0"/>
    <xf numFmtId="0" fontId="6" fillId="0" borderId="0" pivotButton="0" quotePrefix="0" xfId="0"/>
    <xf numFmtId="0" fontId="0" fillId="8"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164" fontId="0" fillId="9" borderId="0" pivotButton="0" quotePrefix="0" xfId="0"/>
    <xf numFmtId="0" fontId="7" fillId="10" borderId="1" applyAlignment="1" pivotButton="0" quotePrefix="0" xfId="0">
      <alignment horizontal="center" vertical="center" wrapText="1"/>
    </xf>
    <xf numFmtId="0" fontId="8" fillId="2" borderId="1" pivotButton="0" quotePrefix="0" xfId="0"/>
    <xf numFmtId="0" fontId="0" fillId="0" borderId="1" pivotButton="0" quotePrefix="0" xfId="0"/>
    <xf numFmtId="0" fontId="8" fillId="3" borderId="1" pivotButton="0" quotePrefix="0" xfId="0"/>
    <xf numFmtId="0" fontId="8" fillId="4" borderId="1" pivotButton="0" quotePrefix="0" xfId="0"/>
    <xf numFmtId="0" fontId="9" fillId="5" borderId="1" pivotButton="0" quotePrefix="0" xfId="0"/>
    <xf numFmtId="0" fontId="8" fillId="6" borderId="1" pivotButton="0" quotePrefix="0" xfId="0"/>
    <xf numFmtId="0" fontId="8" fillId="7" borderId="1" pivotButton="0" quotePrefix="0" xfId="0"/>
    <xf numFmtId="0" fontId="0" fillId="9" borderId="0" pivotButton="0" quotePrefix="0" xfId="0"/>
    <xf numFmtId="9" fontId="0" fillId="9" borderId="0" pivotButton="0" quotePrefix="0" xfId="0"/>
    <xf numFmtId="0" fontId="7" fillId="10" borderId="1" applyAlignment="1" pivotButton="0" quotePrefix="0" xfId="0">
      <alignment horizontal="center"/>
    </xf>
    <xf numFmtId="0" fontId="0" fillId="2" borderId="1" pivotButton="0" quotePrefix="0" xfId="0"/>
    <xf numFmtId="0" fontId="3" fillId="11" borderId="1" pivotButton="0" quotePrefix="0" xfId="0"/>
    <xf numFmtId="0" fontId="3" fillId="0" borderId="1" pivotButton="0" quotePrefix="0" xfId="0"/>
    <xf numFmtId="0" fontId="0" fillId="11"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3" fontId="0" fillId="9" borderId="1" pivotButton="0" quotePrefix="0" xfId="0"/>
    <xf numFmtId="3" fontId="3" fillId="9" borderId="1" pivotButton="0" quotePrefix="0" xfId="0"/>
    <xf numFmtId="0" fontId="10" fillId="0" borderId="0" pivotButton="0" quotePrefix="0" xfId="0"/>
    <xf numFmtId="0" fontId="0" fillId="9" borderId="1" pivotButton="0" quotePrefix="0" xfId="0"/>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8" customWidth="1" min="1" max="1"/>
    <col width="5" customWidth="1" min="2" max="2"/>
    <col width="50" customWidth="1" min="3" max="3"/>
  </cols>
  <sheetData>
    <row r="1">
      <c r="A1" s="1" t="inlineStr">
        <is>
          <t>IMPLEMENTATION GANTT CHART</t>
        </is>
      </c>
    </row>
    <row r="3">
      <c r="A3" s="2" t="inlineStr">
        <is>
          <t>Purpose</t>
        </is>
      </c>
    </row>
    <row r="4">
      <c r="A4" t="inlineStr">
        <is>
          <t>This tool provides a 6-month implementation timeline with milestones and dependencies for completing your first GloBE Information Return (GIR) filing.</t>
        </is>
      </c>
    </row>
    <row r="6">
      <c r="A6" s="2" t="inlineStr">
        <is>
          <t>Key Deadline Context</t>
        </is>
      </c>
    </row>
    <row r="7">
      <c r="A7" t="inlineStr">
        <is>
          <t>• First GIR filing deadline: June 30, 2026 (18-month extended deadline for first year)</t>
        </is>
      </c>
    </row>
    <row r="8">
      <c r="A8" t="inlineStr">
        <is>
          <t>• Subsequent years: 15 months after fiscal year end</t>
        </is>
      </c>
    </row>
    <row r="9">
      <c r="A9" t="inlineStr">
        <is>
          <t>• UK registration deadline: June 30, 2025 (6 months after first accounting period end)</t>
        </is>
      </c>
    </row>
    <row r="10">
      <c r="A10" t="inlineStr">
        <is>
          <t>• OECD Administrative Guidance confirms no filing obligations before June 30, 2026</t>
        </is>
      </c>
    </row>
    <row r="12">
      <c r="A12" s="2" t="inlineStr">
        <is>
          <t>Worksheet Overview</t>
        </is>
      </c>
    </row>
    <row r="13">
      <c r="A13" s="3" t="inlineStr">
        <is>
          <t>1. Instructions</t>
        </is>
      </c>
      <c r="C13" t="inlineStr">
        <is>
          <t>This overview and guidance</t>
        </is>
      </c>
    </row>
    <row r="14">
      <c r="A14" s="3" t="inlineStr">
        <is>
          <t>2. Project_Setup</t>
        </is>
      </c>
      <c r="C14" t="inlineStr">
        <is>
          <t>Project dates and configuration</t>
        </is>
      </c>
    </row>
    <row r="15">
      <c r="A15" s="3" t="inlineStr">
        <is>
          <t>3. Timeline_Summary</t>
        </is>
      </c>
      <c r="C15" t="inlineStr">
        <is>
          <t>High-level 6-month phase overview</t>
        </is>
      </c>
    </row>
    <row r="16">
      <c r="A16" s="3" t="inlineStr">
        <is>
          <t>4. Gantt_Chart</t>
        </is>
      </c>
      <c r="C16" t="inlineStr">
        <is>
          <t>Full 24-week task-level Gantt chart</t>
        </is>
      </c>
    </row>
    <row r="17">
      <c r="A17" s="3" t="inlineStr">
        <is>
          <t>5. Milestones</t>
        </is>
      </c>
      <c r="C17" t="inlineStr">
        <is>
          <t>Key milestone tracking with status</t>
        </is>
      </c>
    </row>
    <row r="18">
      <c r="A18" s="3" t="inlineStr">
        <is>
          <t>6. Resource_Allocation</t>
        </is>
      </c>
      <c r="C18" t="inlineStr">
        <is>
          <t>Time allocation by role per month</t>
        </is>
      </c>
    </row>
    <row r="19">
      <c r="A19" s="3" t="inlineStr">
        <is>
          <t>7. Critical_Path</t>
        </is>
      </c>
      <c r="C19" t="inlineStr">
        <is>
          <t>Critical path activities and dependencies</t>
        </is>
      </c>
    </row>
    <row r="20">
      <c r="A20" s="3" t="inlineStr">
        <is>
          <t>8. Risk_Register</t>
        </is>
      </c>
      <c r="C20" t="inlineStr">
        <is>
          <t>Project risk identification and mitigation</t>
        </is>
      </c>
    </row>
    <row r="23">
      <c r="A23" s="2" t="inlineStr">
        <is>
          <t>Color Coding (Gantt Chart)</t>
        </is>
      </c>
    </row>
    <row r="24">
      <c r="A24" s="4" t="inlineStr">
        <is>
          <t>Month 1</t>
        </is>
      </c>
      <c r="C24" t="inlineStr">
        <is>
          <t>Scoping and Team Mobilization</t>
        </is>
      </c>
    </row>
    <row r="25">
      <c r="A25" s="5" t="inlineStr">
        <is>
          <t>Month 2</t>
        </is>
      </c>
      <c r="C25" t="inlineStr">
        <is>
          <t>Data Inventory and Gap Analysis</t>
        </is>
      </c>
    </row>
    <row r="26">
      <c r="A26" s="6" t="inlineStr">
        <is>
          <t>Month 3</t>
        </is>
      </c>
      <c r="C26" t="inlineStr">
        <is>
          <t>System Setup and Data Extraction</t>
        </is>
      </c>
    </row>
    <row r="27">
      <c r="A27" s="7" t="inlineStr">
        <is>
          <t>Month 4</t>
        </is>
      </c>
      <c r="C27" t="inlineStr">
        <is>
          <t>Calculator Population and Validation</t>
        </is>
      </c>
    </row>
    <row r="28">
      <c r="A28" s="8" t="inlineStr">
        <is>
          <t>Month 5</t>
        </is>
      </c>
      <c r="C28" t="inlineStr">
        <is>
          <t>XML Generation and Testing</t>
        </is>
      </c>
    </row>
    <row r="29">
      <c r="A29" s="9" t="inlineStr">
        <is>
          <t>Month 6</t>
        </is>
      </c>
      <c r="C29" t="inlineStr">
        <is>
          <t>Filing and Confirmation</t>
        </is>
      </c>
    </row>
    <row r="31">
      <c r="A31" s="10" t="inlineStr">
        <is>
          <t>Version: 1.0 | Created: December 2025 | Based on OECD GIR Framework</t>
        </is>
      </c>
    </row>
  </sheetData>
  <mergeCells count="2">
    <mergeCell ref="A4:H4"/>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5" customWidth="1" min="1" max="1"/>
    <col width="20" customWidth="1" min="2" max="2"/>
  </cols>
  <sheetData>
    <row r="1">
      <c r="A1" s="11" t="inlineStr">
        <is>
          <t>PROJECT SETUP</t>
        </is>
      </c>
    </row>
    <row r="3">
      <c r="A3" s="3" t="inlineStr">
        <is>
          <t>MNE Group Name:</t>
        </is>
      </c>
      <c r="B3" s="12" t="inlineStr"/>
      <c r="C3" s="13" t="n"/>
      <c r="D3" s="14" t="n"/>
    </row>
    <row r="4">
      <c r="A4" s="3" t="inlineStr">
        <is>
          <t>Fiscal Year End:</t>
        </is>
      </c>
      <c r="B4" s="12" t="inlineStr">
        <is>
          <t>31-Dec-2024</t>
        </is>
      </c>
      <c r="C4" s="13" t="n"/>
      <c r="D4" s="14" t="n"/>
    </row>
    <row r="5">
      <c r="A5" s="3" t="inlineStr">
        <is>
          <t>First Year in Scope?:</t>
        </is>
      </c>
      <c r="B5" s="12" t="inlineStr">
        <is>
          <t>Yes</t>
        </is>
      </c>
      <c r="C5" s="13" t="n"/>
      <c r="D5" s="14" t="n"/>
    </row>
    <row r="6">
      <c r="A6" s="3" t="inlineStr">
        <is>
          <t>Filing Deadline:</t>
        </is>
      </c>
      <c r="B6" s="12" t="inlineStr">
        <is>
          <t>30-Jun-2026</t>
        </is>
      </c>
      <c r="C6" s="13" t="n"/>
      <c r="D6" s="14" t="n"/>
    </row>
    <row r="7">
      <c r="A7" s="3" t="inlineStr">
        <is>
          <t>Project Start Date:</t>
        </is>
      </c>
      <c r="B7" s="12" t="inlineStr">
        <is>
          <t>01-Jan-2026</t>
        </is>
      </c>
      <c r="C7" s="13" t="n"/>
      <c r="D7" s="14" t="n"/>
    </row>
    <row r="8">
      <c r="A8" s="3" t="inlineStr">
        <is>
          <t>Target Filing Date:</t>
        </is>
      </c>
      <c r="B8" s="12" t="inlineStr">
        <is>
          <t>15-Jun-2026</t>
        </is>
      </c>
      <c r="C8" s="13" t="n"/>
      <c r="D8" s="14" t="n"/>
    </row>
    <row r="9">
      <c r="A9" s="3" t="inlineStr">
        <is>
          <t>Project Lead:</t>
        </is>
      </c>
      <c r="B9" s="12" t="inlineStr"/>
      <c r="C9" s="13" t="n"/>
      <c r="D9" s="14" t="n"/>
    </row>
    <row r="10">
      <c r="A10" s="3" t="inlineStr">
        <is>
          <t>GIR Technical Lead:</t>
        </is>
      </c>
      <c r="B10" s="12" t="inlineStr"/>
      <c r="C10" s="13" t="n"/>
      <c r="D10" s="14" t="n"/>
    </row>
    <row r="11">
      <c r="A11" s="3" t="inlineStr">
        <is>
          <t>Executive Sponsor:</t>
        </is>
      </c>
      <c r="B11" s="12" t="inlineStr"/>
      <c r="C11" s="13" t="n"/>
      <c r="D11" s="14" t="n"/>
    </row>
    <row r="14">
      <c r="A14" s="2" t="inlineStr">
        <is>
          <t>CALCULATED DATES</t>
        </is>
      </c>
    </row>
    <row r="16">
      <c r="A16" t="inlineStr">
        <is>
          <t>Month 1 Start:</t>
        </is>
      </c>
      <c r="B16" s="15">
        <f>B7</f>
        <v/>
      </c>
    </row>
    <row r="17">
      <c r="A17" t="inlineStr">
        <is>
          <t>Month 2 Start:</t>
        </is>
      </c>
      <c r="B17" s="15">
        <f>DATE(YEAR(B7),MONTH(B7)+1,DAY(B7))</f>
        <v/>
      </c>
    </row>
    <row r="18">
      <c r="A18" t="inlineStr">
        <is>
          <t>Month 3 Start:</t>
        </is>
      </c>
      <c r="B18" s="15">
        <f>DATE(YEAR(B7),MONTH(B7)+2,DAY(B7))</f>
        <v/>
      </c>
    </row>
    <row r="19">
      <c r="A19" t="inlineStr">
        <is>
          <t>Month 4 Start:</t>
        </is>
      </c>
      <c r="B19" s="15">
        <f>DATE(YEAR(B7),MONTH(B7)+3,DAY(B7))</f>
        <v/>
      </c>
    </row>
    <row r="20">
      <c r="A20" t="inlineStr">
        <is>
          <t>Month 5 Start:</t>
        </is>
      </c>
      <c r="B20" s="15">
        <f>DATE(YEAR(B7),MONTH(B7)+4,DAY(B7))</f>
        <v/>
      </c>
    </row>
    <row r="21">
      <c r="A21" t="inlineStr">
        <is>
          <t>Month 6 Start:</t>
        </is>
      </c>
      <c r="B21" s="15">
        <f>DATE(YEAR(B7),MONTH(B7)+5,DAY(B7))</f>
        <v/>
      </c>
    </row>
    <row r="22">
      <c r="A22" t="inlineStr">
        <is>
          <t>Project End:</t>
        </is>
      </c>
      <c r="B22" s="15">
        <f>DATE(YEAR(B7),MONTH(B7)+6,DAY(B7))-1</f>
        <v/>
      </c>
    </row>
  </sheetData>
  <mergeCells count="10">
    <mergeCell ref="B10:D10"/>
    <mergeCell ref="A1:D1"/>
    <mergeCell ref="B11:D11"/>
    <mergeCell ref="B3:D3"/>
    <mergeCell ref="B5:D5"/>
    <mergeCell ref="B8:D8"/>
    <mergeCell ref="B4:D4"/>
    <mergeCell ref="B9:D9"/>
    <mergeCell ref="B7:D7"/>
    <mergeCell ref="B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5" customWidth="1" min="1" max="1"/>
    <col width="10" customWidth="1" min="2" max="2"/>
    <col width="35" customWidth="1" min="3" max="3"/>
    <col width="55" customWidth="1" min="4" max="4"/>
    <col width="15" customWidth="1" min="5" max="5"/>
    <col width="12" customWidth="1" min="6" max="6"/>
  </cols>
  <sheetData>
    <row r="1">
      <c r="A1" s="11" t="inlineStr">
        <is>
          <t>6-MONTH TIMELINE SUMMARY</t>
        </is>
      </c>
    </row>
    <row r="3">
      <c r="A3" s="16" t="inlineStr">
        <is>
          <t>Month</t>
        </is>
      </c>
      <c r="B3" s="16" t="inlineStr">
        <is>
          <t>Weeks</t>
        </is>
      </c>
      <c r="C3" s="16" t="inlineStr">
        <is>
          <t>Focus Area</t>
        </is>
      </c>
      <c r="D3" s="16" t="inlineStr">
        <is>
          <t>Key Deliverables</t>
        </is>
      </c>
      <c r="E3" s="16" t="inlineStr">
        <is>
          <t>Status</t>
        </is>
      </c>
      <c r="F3" s="16" t="inlineStr">
        <is>
          <t>% Complete</t>
        </is>
      </c>
    </row>
    <row r="4">
      <c r="A4" s="17" t="inlineStr">
        <is>
          <t>Month 1</t>
        </is>
      </c>
      <c r="B4" s="18" t="inlineStr">
        <is>
          <t>1-4</t>
        </is>
      </c>
      <c r="C4" s="18" t="inlineStr">
        <is>
          <t>Scoping and Team Mobilization</t>
        </is>
      </c>
      <c r="D4" s="18" t="inlineStr">
        <is>
          <t>Project charter, team assignments, governance structure</t>
        </is>
      </c>
      <c r="E4" s="12" t="n"/>
      <c r="F4" s="12" t="n"/>
    </row>
    <row r="5">
      <c r="A5" s="19" t="inlineStr">
        <is>
          <t>Month 2</t>
        </is>
      </c>
      <c r="B5" s="18" t="inlineStr">
        <is>
          <t>5-8</t>
        </is>
      </c>
      <c r="C5" s="18" t="inlineStr">
        <is>
          <t>Data Inventory and Gap Analysis</t>
        </is>
      </c>
      <c r="D5" s="18" t="inlineStr">
        <is>
          <t>Complete data mapping, gap register, remediation plan</t>
        </is>
      </c>
      <c r="E5" s="12" t="n"/>
      <c r="F5" s="12" t="n"/>
    </row>
    <row r="6">
      <c r="A6" s="20" t="inlineStr">
        <is>
          <t>Month 3</t>
        </is>
      </c>
      <c r="B6" s="18" t="inlineStr">
        <is>
          <t>9-12</t>
        </is>
      </c>
      <c r="C6" s="18" t="inlineStr">
        <is>
          <t>System Setup and Data Extraction</t>
        </is>
      </c>
      <c r="D6" s="18" t="inlineStr">
        <is>
          <t>Data collection templates, ERP extracts, validation rules</t>
        </is>
      </c>
      <c r="E6" s="12" t="n"/>
      <c r="F6" s="12" t="n"/>
    </row>
    <row r="7">
      <c r="A7" s="21" t="inlineStr">
        <is>
          <t>Month 4</t>
        </is>
      </c>
      <c r="B7" s="18" t="inlineStr">
        <is>
          <t>13-16</t>
        </is>
      </c>
      <c r="C7" s="18" t="inlineStr">
        <is>
          <t>Calculator Population and Validation</t>
        </is>
      </c>
      <c r="D7" s="18" t="inlineStr">
        <is>
          <t>Completed Sections 1-3, internal validation</t>
        </is>
      </c>
      <c r="E7" s="12" t="n"/>
      <c r="F7" s="12" t="n"/>
    </row>
    <row r="8">
      <c r="A8" s="22" t="inlineStr">
        <is>
          <t>Month 5</t>
        </is>
      </c>
      <c r="B8" s="18" t="inlineStr">
        <is>
          <t>17-20</t>
        </is>
      </c>
      <c r="C8" s="18" t="inlineStr">
        <is>
          <t>XML Generation and Testing</t>
        </is>
      </c>
      <c r="D8" s="18" t="inlineStr">
        <is>
          <t>Valid XML file, jurisdiction portal testing</t>
        </is>
      </c>
      <c r="E8" s="12" t="n"/>
      <c r="F8" s="12" t="n"/>
    </row>
    <row r="9">
      <c r="A9" s="23" t="inlineStr">
        <is>
          <t>Month 6</t>
        </is>
      </c>
      <c r="B9" s="18" t="inlineStr">
        <is>
          <t>21-24</t>
        </is>
      </c>
      <c r="C9" s="18" t="inlineStr">
        <is>
          <t>Filing and Confirmation</t>
        </is>
      </c>
      <c r="D9" s="18" t="inlineStr">
        <is>
          <t>Submitted GIR(s), confirmation documentation</t>
        </is>
      </c>
      <c r="E9" s="12" t="n"/>
      <c r="F9" s="12" t="n"/>
    </row>
    <row r="12">
      <c r="A12" s="2" t="inlineStr">
        <is>
          <t>OVERALL PROJECT PROGRESS</t>
        </is>
      </c>
    </row>
    <row r="14">
      <c r="A14" t="inlineStr">
        <is>
          <t>Phases Complete:</t>
        </is>
      </c>
      <c r="B14" s="24">
        <f>COUNTIF(E4:E9,"Complete")</f>
        <v/>
      </c>
      <c r="C14" t="inlineStr">
        <is>
          <t>of 6</t>
        </is>
      </c>
    </row>
    <row r="15">
      <c r="A15" t="inlineStr">
        <is>
          <t>Average Completion:</t>
        </is>
      </c>
      <c r="B15" s="25">
        <f>AVERAGE(F4:F9)</f>
        <v/>
      </c>
    </row>
  </sheetData>
  <mergeCells count="1">
    <mergeCell ref="A1:H1"/>
  </mergeCells>
  <dataValidations count="1">
    <dataValidation sqref="E4 E5 E6 E7 E8 E9" showDropDown="0" showInputMessage="0" showErrorMessage="0" allowBlank="1" type="list">
      <formula1>"Not Started,In Progress,Complete,Delayed"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cols>
    <col width="6" customWidth="1" min="1" max="1"/>
    <col width="12" customWidth="1" min="2" max="2"/>
    <col width="40" customWidth="1" min="3" max="3"/>
    <col width="14" customWidth="1" min="4" max="4"/>
    <col width="6" customWidth="1" min="5" max="5"/>
    <col width="12"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s>
  <sheetData>
    <row r="1">
      <c r="A1" s="11" t="inlineStr">
        <is>
          <t>IMPLEMENTATION GANTT CHART</t>
        </is>
      </c>
    </row>
    <row r="3">
      <c r="A3" s="16" t="inlineStr">
        <is>
          <t>ID</t>
        </is>
      </c>
      <c r="B3" s="16" t="inlineStr">
        <is>
          <t>Phase</t>
        </is>
      </c>
      <c r="C3" s="16" t="inlineStr">
        <is>
          <t>Task</t>
        </is>
      </c>
      <c r="D3" s="16" t="inlineStr">
        <is>
          <t>Owner</t>
        </is>
      </c>
      <c r="E3" s="16" t="inlineStr">
        <is>
          <t>Dep.</t>
        </is>
      </c>
      <c r="F3" s="16" t="inlineStr">
        <is>
          <t>Status</t>
        </is>
      </c>
      <c r="G3" s="26" t="inlineStr">
        <is>
          <t>W1</t>
        </is>
      </c>
      <c r="H3" s="26" t="inlineStr">
        <is>
          <t>W2</t>
        </is>
      </c>
      <c r="I3" s="26" t="inlineStr">
        <is>
          <t>W3</t>
        </is>
      </c>
      <c r="J3" s="26" t="inlineStr">
        <is>
          <t>W4</t>
        </is>
      </c>
      <c r="K3" s="26" t="inlineStr">
        <is>
          <t>W5</t>
        </is>
      </c>
      <c r="L3" s="26" t="inlineStr">
        <is>
          <t>W6</t>
        </is>
      </c>
      <c r="M3" s="26" t="inlineStr">
        <is>
          <t>W7</t>
        </is>
      </c>
      <c r="N3" s="26" t="inlineStr">
        <is>
          <t>W8</t>
        </is>
      </c>
      <c r="O3" s="26" t="inlineStr">
        <is>
          <t>W9</t>
        </is>
      </c>
      <c r="P3" s="26" t="inlineStr">
        <is>
          <t>W10</t>
        </is>
      </c>
      <c r="Q3" s="26" t="inlineStr">
        <is>
          <t>W11</t>
        </is>
      </c>
      <c r="R3" s="26" t="inlineStr">
        <is>
          <t>W12</t>
        </is>
      </c>
      <c r="S3" s="26" t="inlineStr">
        <is>
          <t>W13</t>
        </is>
      </c>
      <c r="T3" s="26" t="inlineStr">
        <is>
          <t>W14</t>
        </is>
      </c>
      <c r="U3" s="26" t="inlineStr">
        <is>
          <t>W15</t>
        </is>
      </c>
      <c r="V3" s="26" t="inlineStr">
        <is>
          <t>W16</t>
        </is>
      </c>
      <c r="W3" s="26" t="inlineStr">
        <is>
          <t>W17</t>
        </is>
      </c>
      <c r="X3" s="26" t="inlineStr">
        <is>
          <t>W18</t>
        </is>
      </c>
      <c r="Y3" s="26" t="inlineStr">
        <is>
          <t>W19</t>
        </is>
      </c>
      <c r="Z3" s="26" t="inlineStr">
        <is>
          <t>W20</t>
        </is>
      </c>
      <c r="AA3" s="26" t="inlineStr">
        <is>
          <t>W21</t>
        </is>
      </c>
      <c r="AB3" s="26" t="inlineStr">
        <is>
          <t>W22</t>
        </is>
      </c>
      <c r="AC3" s="26" t="inlineStr">
        <is>
          <t>W23</t>
        </is>
      </c>
      <c r="AD3" s="26" t="inlineStr">
        <is>
          <t>W24</t>
        </is>
      </c>
    </row>
    <row r="4">
      <c r="A4" s="18" t="inlineStr">
        <is>
          <t>1.1</t>
        </is>
      </c>
      <c r="B4" s="27" t="inlineStr">
        <is>
          <t>Month 1</t>
        </is>
      </c>
      <c r="C4" s="18" t="inlineStr">
        <is>
          <t>Executive briefing and sponsorship</t>
        </is>
      </c>
      <c r="D4" s="18" t="inlineStr">
        <is>
          <t>Project Lead</t>
        </is>
      </c>
      <c r="E4" s="18" t="inlineStr">
        <is>
          <t>-</t>
        </is>
      </c>
      <c r="F4" s="12" t="n"/>
      <c r="G4" s="27" t="n"/>
      <c r="H4" s="27" t="n"/>
    </row>
    <row r="5">
      <c r="A5" s="18" t="inlineStr">
        <is>
          <t>1.2</t>
        </is>
      </c>
      <c r="B5" s="27" t="inlineStr">
        <is>
          <t>Month 1</t>
        </is>
      </c>
      <c r="C5" s="18" t="inlineStr">
        <is>
          <t>Project charter development</t>
        </is>
      </c>
      <c r="D5" s="18" t="inlineStr">
        <is>
          <t>Project Lead</t>
        </is>
      </c>
      <c r="E5" s="18" t="inlineStr">
        <is>
          <t>1.1</t>
        </is>
      </c>
      <c r="F5" s="12" t="n"/>
      <c r="G5" s="27" t="n"/>
      <c r="H5" s="27" t="n"/>
    </row>
    <row r="6">
      <c r="A6" s="18" t="inlineStr">
        <is>
          <t>1.3</t>
        </is>
      </c>
      <c r="B6" s="27" t="inlineStr">
        <is>
          <t>Month 1</t>
        </is>
      </c>
      <c r="C6" s="18" t="inlineStr">
        <is>
          <t>Core team assembly</t>
        </is>
      </c>
      <c r="D6" s="18" t="inlineStr">
        <is>
          <t>Project Lead</t>
        </is>
      </c>
      <c r="E6" s="18" t="inlineStr">
        <is>
          <t>1.2</t>
        </is>
      </c>
      <c r="F6" s="12" t="n"/>
      <c r="H6" s="27" t="n"/>
      <c r="I6" s="27" t="n"/>
    </row>
    <row r="7">
      <c r="A7" s="18" t="inlineStr">
        <is>
          <t>1.4</t>
        </is>
      </c>
      <c r="B7" s="27" t="inlineStr">
        <is>
          <t>Month 1</t>
        </is>
      </c>
      <c r="C7" s="18" t="inlineStr">
        <is>
          <t>Extended team engagement</t>
        </is>
      </c>
      <c r="D7" s="18" t="inlineStr">
        <is>
          <t>Project Lead</t>
        </is>
      </c>
      <c r="E7" s="18" t="inlineStr">
        <is>
          <t>1.3</t>
        </is>
      </c>
      <c r="F7" s="12" t="n"/>
      <c r="I7" s="27" t="n"/>
    </row>
    <row r="8">
      <c r="A8" s="18" t="inlineStr">
        <is>
          <t>1.5</t>
        </is>
      </c>
      <c r="B8" s="27" t="inlineStr">
        <is>
          <t>Month 1</t>
        </is>
      </c>
      <c r="C8" s="18" t="inlineStr">
        <is>
          <t>Constituent entity inventory</t>
        </is>
      </c>
      <c r="D8" s="18" t="inlineStr">
        <is>
          <t>Entity Coord</t>
        </is>
      </c>
      <c r="E8" s="18" t="inlineStr">
        <is>
          <t>1.3</t>
        </is>
      </c>
      <c r="F8" s="12" t="n"/>
      <c r="I8" s="27" t="n"/>
      <c r="J8" s="27" t="n"/>
    </row>
    <row r="9">
      <c r="A9" s="18" t="inlineStr">
        <is>
          <t>1.6</t>
        </is>
      </c>
      <c r="B9" s="27" t="inlineStr">
        <is>
          <t>Month 1</t>
        </is>
      </c>
      <c r="C9" s="18" t="inlineStr">
        <is>
          <t>Scope assessment</t>
        </is>
      </c>
      <c r="D9" s="18" t="inlineStr">
        <is>
          <t>GIR Tech Lead</t>
        </is>
      </c>
      <c r="E9" s="18" t="inlineStr">
        <is>
          <t>1.5</t>
        </is>
      </c>
      <c r="F9" s="12" t="n"/>
      <c r="I9" s="27" t="n"/>
      <c r="J9" s="27" t="n"/>
    </row>
    <row r="10">
      <c r="A10" s="18" t="inlineStr">
        <is>
          <t>M1</t>
        </is>
      </c>
      <c r="B10" s="28" t="inlineStr">
        <is>
          <t>Milestone</t>
        </is>
      </c>
      <c r="C10" s="29" t="inlineStr">
        <is>
          <t>Month 1 complete: Team mobilized</t>
        </is>
      </c>
      <c r="D10" s="18" t="inlineStr">
        <is>
          <t>Project Lead</t>
        </is>
      </c>
      <c r="E10" s="18" t="inlineStr">
        <is>
          <t>1.6</t>
        </is>
      </c>
      <c r="F10" s="12" t="n"/>
      <c r="J10" s="30" t="n"/>
    </row>
    <row r="11">
      <c r="A11" s="18" t="inlineStr">
        <is>
          <t>2.1</t>
        </is>
      </c>
      <c r="B11" s="31" t="inlineStr">
        <is>
          <t>Month 2</t>
        </is>
      </c>
      <c r="C11" s="18" t="inlineStr">
        <is>
          <t>Data point mapping (480 points)</t>
        </is>
      </c>
      <c r="D11" s="18" t="inlineStr">
        <is>
          <t>Data Lead</t>
        </is>
      </c>
      <c r="E11" s="18" t="inlineStr">
        <is>
          <t>M1</t>
        </is>
      </c>
      <c r="F11" s="12" t="n"/>
      <c r="K11" s="31" t="n"/>
      <c r="L11" s="31" t="n"/>
    </row>
    <row r="12">
      <c r="A12" s="18" t="inlineStr">
        <is>
          <t>2.2</t>
        </is>
      </c>
      <c r="B12" s="31" t="inlineStr">
        <is>
          <t>Month 2</t>
        </is>
      </c>
      <c r="C12" s="18" t="inlineStr">
        <is>
          <t>Source system mapping</t>
        </is>
      </c>
      <c r="D12" s="18" t="inlineStr">
        <is>
          <t>Data Lead</t>
        </is>
      </c>
      <c r="E12" s="18" t="inlineStr">
        <is>
          <t>2.1</t>
        </is>
      </c>
      <c r="F12" s="12" t="n"/>
      <c r="K12" s="31" t="n"/>
      <c r="L12" s="31" t="n"/>
    </row>
    <row r="13">
      <c r="A13" s="18" t="inlineStr">
        <is>
          <t>2.3</t>
        </is>
      </c>
      <c r="B13" s="31" t="inlineStr">
        <is>
          <t>Month 2</t>
        </is>
      </c>
      <c r="C13" s="18" t="inlineStr">
        <is>
          <t>Gap identification</t>
        </is>
      </c>
      <c r="D13" s="18" t="inlineStr">
        <is>
          <t>Data Lead</t>
        </is>
      </c>
      <c r="E13" s="18" t="inlineStr">
        <is>
          <t>2.2</t>
        </is>
      </c>
      <c r="F13" s="12" t="n"/>
      <c r="L13" s="31" t="n"/>
      <c r="M13" s="31" t="n"/>
    </row>
    <row r="14">
      <c r="A14" s="18" t="inlineStr">
        <is>
          <t>2.4</t>
        </is>
      </c>
      <c r="B14" s="31" t="inlineStr">
        <is>
          <t>Month 2</t>
        </is>
      </c>
      <c r="C14" s="18" t="inlineStr">
        <is>
          <t>Gap categorization and impact</t>
        </is>
      </c>
      <c r="D14" s="18" t="inlineStr">
        <is>
          <t>Data Lead</t>
        </is>
      </c>
      <c r="E14" s="18" t="inlineStr">
        <is>
          <t>2.3</t>
        </is>
      </c>
      <c r="F14" s="12" t="n"/>
      <c r="M14" s="31" t="n"/>
    </row>
    <row r="15">
      <c r="A15" s="18" t="inlineStr">
        <is>
          <t>2.5</t>
        </is>
      </c>
      <c r="B15" s="31" t="inlineStr">
        <is>
          <t>Month 2</t>
        </is>
      </c>
      <c r="C15" s="18" t="inlineStr">
        <is>
          <t>Remediation planning</t>
        </is>
      </c>
      <c r="D15" s="18" t="inlineStr">
        <is>
          <t>Project Lead</t>
        </is>
      </c>
      <c r="E15" s="18" t="inlineStr">
        <is>
          <t>2.4</t>
        </is>
      </c>
      <c r="F15" s="12" t="n"/>
      <c r="M15" s="31" t="n"/>
      <c r="N15" s="31" t="n"/>
    </row>
    <row r="16">
      <c r="A16" s="18" t="inlineStr">
        <is>
          <t>2.6</t>
        </is>
      </c>
      <c r="B16" s="31" t="inlineStr">
        <is>
          <t>Month 2</t>
        </is>
      </c>
      <c r="C16" s="18" t="inlineStr">
        <is>
          <t>Data request memos issued</t>
        </is>
      </c>
      <c r="D16" s="18" t="inlineStr">
        <is>
          <t>Entity Coord</t>
        </is>
      </c>
      <c r="E16" s="18" t="inlineStr">
        <is>
          <t>2.5</t>
        </is>
      </c>
      <c r="F16" s="12" t="n"/>
      <c r="N16" s="31" t="n"/>
    </row>
    <row r="17">
      <c r="A17" s="18" t="inlineStr">
        <is>
          <t>M2</t>
        </is>
      </c>
      <c r="B17" s="28" t="inlineStr">
        <is>
          <t>Milestone</t>
        </is>
      </c>
      <c r="C17" s="29" t="inlineStr">
        <is>
          <t>Month 2 complete: Gap register finalized</t>
        </is>
      </c>
      <c r="D17" s="18" t="inlineStr">
        <is>
          <t>Data Lead</t>
        </is>
      </c>
      <c r="E17" s="18" t="inlineStr">
        <is>
          <t>2.6</t>
        </is>
      </c>
      <c r="F17" s="12" t="n"/>
      <c r="N17" s="30" t="n"/>
    </row>
    <row r="18">
      <c r="A18" s="18" t="inlineStr">
        <is>
          <t>3.1</t>
        </is>
      </c>
      <c r="B18" s="32" t="inlineStr">
        <is>
          <t>Month 3</t>
        </is>
      </c>
      <c r="C18" s="18" t="inlineStr">
        <is>
          <t>GIR Calculator setup</t>
        </is>
      </c>
      <c r="D18" s="18" t="inlineStr">
        <is>
          <t>GIR Tech Lead</t>
        </is>
      </c>
      <c r="E18" s="18" t="inlineStr">
        <is>
          <t>M2</t>
        </is>
      </c>
      <c r="F18" s="12" t="n"/>
      <c r="O18" s="32" t="n"/>
      <c r="P18" s="32" t="n"/>
    </row>
    <row r="19">
      <c r="A19" s="18" t="inlineStr">
        <is>
          <t>3.2</t>
        </is>
      </c>
      <c r="B19" s="32" t="inlineStr">
        <is>
          <t>Month 3</t>
        </is>
      </c>
      <c r="C19" s="18" t="inlineStr">
        <is>
          <t>Data collection templates</t>
        </is>
      </c>
      <c r="D19" s="18" t="inlineStr">
        <is>
          <t>Entity Coord</t>
        </is>
      </c>
      <c r="E19" s="18" t="inlineStr">
        <is>
          <t>M2</t>
        </is>
      </c>
      <c r="F19" s="12" t="n"/>
      <c r="O19" s="32" t="n"/>
    </row>
    <row r="20">
      <c r="A20" s="18" t="inlineStr">
        <is>
          <t>3.3</t>
        </is>
      </c>
      <c r="B20" s="32" t="inlineStr">
        <is>
          <t>Month 3</t>
        </is>
      </c>
      <c r="C20" s="18" t="inlineStr">
        <is>
          <t>ERP report development</t>
        </is>
      </c>
      <c r="D20" s="18" t="inlineStr">
        <is>
          <t>ERP/Systems</t>
        </is>
      </c>
      <c r="E20" s="18" t="inlineStr">
        <is>
          <t>3.1</t>
        </is>
      </c>
      <c r="F20" s="12" t="n"/>
      <c r="O20" s="32" t="n"/>
      <c r="P20" s="32" t="n"/>
    </row>
    <row r="21">
      <c r="A21" s="18" t="inlineStr">
        <is>
          <t>3.4</t>
        </is>
      </c>
      <c r="B21" s="32" t="inlineStr">
        <is>
          <t>Month 3</t>
        </is>
      </c>
      <c r="C21" s="18" t="inlineStr">
        <is>
          <t>Centralized data extraction</t>
        </is>
      </c>
      <c r="D21" s="18" t="inlineStr">
        <is>
          <t>ERP/Systems</t>
        </is>
      </c>
      <c r="E21" s="18" t="inlineStr">
        <is>
          <t>3.3</t>
        </is>
      </c>
      <c r="F21" s="12" t="n"/>
      <c r="P21" s="32" t="n"/>
      <c r="Q21" s="32" t="n"/>
    </row>
    <row r="22">
      <c r="A22" s="18" t="inlineStr">
        <is>
          <t>3.5</t>
        </is>
      </c>
      <c r="B22" s="32" t="inlineStr">
        <is>
          <t>Month 3</t>
        </is>
      </c>
      <c r="C22" s="18" t="inlineStr">
        <is>
          <t>Entity data collection (75%)</t>
        </is>
      </c>
      <c r="D22" s="18" t="inlineStr">
        <is>
          <t>Entity Coord</t>
        </is>
      </c>
      <c r="E22" s="18" t="inlineStr">
        <is>
          <t>3.2</t>
        </is>
      </c>
      <c r="F22" s="12" t="n"/>
      <c r="P22" s="32" t="n"/>
      <c r="Q22" s="32" t="n"/>
    </row>
    <row r="23">
      <c r="A23" s="18" t="inlineStr">
        <is>
          <t>3.6</t>
        </is>
      </c>
      <c r="B23" s="32" t="inlineStr">
        <is>
          <t>Month 3</t>
        </is>
      </c>
      <c r="C23" s="18" t="inlineStr">
        <is>
          <t>Entity data collection (100%)</t>
        </is>
      </c>
      <c r="D23" s="18" t="inlineStr">
        <is>
          <t>Entity Coord</t>
        </is>
      </c>
      <c r="E23" s="18" t="inlineStr">
        <is>
          <t>3.5</t>
        </is>
      </c>
      <c r="F23" s="12" t="n"/>
      <c r="Q23" s="32" t="n"/>
      <c r="R23" s="32" t="n"/>
    </row>
    <row r="24">
      <c r="A24" s="18" t="inlineStr">
        <is>
          <t>3.7</t>
        </is>
      </c>
      <c r="B24" s="32" t="inlineStr">
        <is>
          <t>Month 3</t>
        </is>
      </c>
      <c r="C24" s="18" t="inlineStr">
        <is>
          <t>Data validation</t>
        </is>
      </c>
      <c r="D24" s="18" t="inlineStr">
        <is>
          <t>Data Lead</t>
        </is>
      </c>
      <c r="E24" s="18" t="inlineStr">
        <is>
          <t>3.6</t>
        </is>
      </c>
      <c r="F24" s="12" t="n"/>
      <c r="Q24" s="32" t="n"/>
      <c r="R24" s="32" t="n"/>
    </row>
    <row r="25">
      <c r="A25" s="18" t="inlineStr">
        <is>
          <t>M3</t>
        </is>
      </c>
      <c r="B25" s="28" t="inlineStr">
        <is>
          <t>Milestone</t>
        </is>
      </c>
      <c r="C25" s="29" t="inlineStr">
        <is>
          <t>Month 3 complete: Data validated</t>
        </is>
      </c>
      <c r="D25" s="18" t="inlineStr">
        <is>
          <t>Data Lead</t>
        </is>
      </c>
      <c r="E25" s="18" t="inlineStr">
        <is>
          <t>3.7</t>
        </is>
      </c>
      <c r="F25" s="12" t="n"/>
      <c r="R25" s="30" t="n"/>
    </row>
    <row r="26">
      <c r="A26" s="18" t="inlineStr">
        <is>
          <t>4.1</t>
        </is>
      </c>
      <c r="B26" s="33" t="inlineStr">
        <is>
          <t>Month 4</t>
        </is>
      </c>
      <c r="C26" s="18" t="inlineStr">
        <is>
          <t>Section 1 data entry (MNE Group)</t>
        </is>
      </c>
      <c r="D26" s="18" t="inlineStr">
        <is>
          <t>GIR Tech Lead</t>
        </is>
      </c>
      <c r="E26" s="18" t="inlineStr">
        <is>
          <t>M3</t>
        </is>
      </c>
      <c r="F26" s="12" t="n"/>
      <c r="S26" s="33" t="n"/>
      <c r="T26" s="33" t="n"/>
    </row>
    <row r="27">
      <c r="A27" s="18" t="inlineStr">
        <is>
          <t>4.2</t>
        </is>
      </c>
      <c r="B27" s="33" t="inlineStr">
        <is>
          <t>Month 4</t>
        </is>
      </c>
      <c r="C27" s="18" t="inlineStr">
        <is>
          <t>Section 1 validation</t>
        </is>
      </c>
      <c r="D27" s="18" t="inlineStr">
        <is>
          <t>Data Lead</t>
        </is>
      </c>
      <c r="E27" s="18" t="inlineStr">
        <is>
          <t>4.1</t>
        </is>
      </c>
      <c r="F27" s="12" t="n"/>
      <c r="T27" s="33" t="n"/>
    </row>
    <row r="28">
      <c r="A28" s="18" t="inlineStr">
        <is>
          <t>4.3</t>
        </is>
      </c>
      <c r="B28" s="33" t="inlineStr">
        <is>
          <t>Month 4</t>
        </is>
      </c>
      <c r="C28" s="18" t="inlineStr">
        <is>
          <t>Section 2 data entry (Safe Harbours)</t>
        </is>
      </c>
      <c r="D28" s="18" t="inlineStr">
        <is>
          <t>GIR Tech Lead</t>
        </is>
      </c>
      <c r="E28" s="18" t="inlineStr">
        <is>
          <t>4.2</t>
        </is>
      </c>
      <c r="F28" s="12" t="n"/>
      <c r="T28" s="33" t="n"/>
      <c r="U28" s="33" t="n"/>
    </row>
    <row r="29">
      <c r="A29" s="18" t="inlineStr">
        <is>
          <t>4.4</t>
        </is>
      </c>
      <c r="B29" s="33" t="inlineStr">
        <is>
          <t>Month 4</t>
        </is>
      </c>
      <c r="C29" s="18" t="inlineStr">
        <is>
          <t>Section 2 validation</t>
        </is>
      </c>
      <c r="D29" s="18" t="inlineStr">
        <is>
          <t>Data Lead</t>
        </is>
      </c>
      <c r="E29" s="18" t="inlineStr">
        <is>
          <t>4.3</t>
        </is>
      </c>
      <c r="F29" s="12" t="n"/>
      <c r="U29" s="33" t="n"/>
    </row>
    <row r="30">
      <c r="A30" s="18" t="inlineStr">
        <is>
          <t>4.5</t>
        </is>
      </c>
      <c r="B30" s="33" t="inlineStr">
        <is>
          <t>Month 4</t>
        </is>
      </c>
      <c r="C30" s="18" t="inlineStr">
        <is>
          <t>Section 3 data entry (GloBE Comp)</t>
        </is>
      </c>
      <c r="D30" s="18" t="inlineStr">
        <is>
          <t>GIR Tech Lead</t>
        </is>
      </c>
      <c r="E30" s="18" t="inlineStr">
        <is>
          <t>4.4</t>
        </is>
      </c>
      <c r="F30" s="12" t="n"/>
      <c r="U30" s="33" t="n"/>
      <c r="V30" s="33" t="n"/>
    </row>
    <row r="31">
      <c r="A31" s="18" t="inlineStr">
        <is>
          <t>4.6</t>
        </is>
      </c>
      <c r="B31" s="33" t="inlineStr">
        <is>
          <t>Month 4</t>
        </is>
      </c>
      <c r="C31" s="18" t="inlineStr">
        <is>
          <t>Section 3 validation</t>
        </is>
      </c>
      <c r="D31" s="18" t="inlineStr">
        <is>
          <t>Data Lead</t>
        </is>
      </c>
      <c r="E31" s="18" t="inlineStr">
        <is>
          <t>4.5</t>
        </is>
      </c>
      <c r="F31" s="12" t="n"/>
      <c r="V31" s="33" t="n"/>
    </row>
    <row r="32">
      <c r="A32" s="18" t="inlineStr">
        <is>
          <t>4.7</t>
        </is>
      </c>
      <c r="B32" s="33" t="inlineStr">
        <is>
          <t>Month 4</t>
        </is>
      </c>
      <c r="C32" s="18" t="inlineStr">
        <is>
          <t>Full GIR internal review</t>
        </is>
      </c>
      <c r="D32" s="18" t="inlineStr">
        <is>
          <t>External Adv</t>
        </is>
      </c>
      <c r="E32" s="18" t="inlineStr">
        <is>
          <t>4.6</t>
        </is>
      </c>
      <c r="F32" s="12" t="n"/>
      <c r="V32" s="33" t="n"/>
    </row>
    <row r="33">
      <c r="A33" s="18" t="inlineStr">
        <is>
          <t>M4</t>
        </is>
      </c>
      <c r="B33" s="28" t="inlineStr">
        <is>
          <t>Milestone</t>
        </is>
      </c>
      <c r="C33" s="29" t="inlineStr">
        <is>
          <t>Month 4 complete: GIR populated</t>
        </is>
      </c>
      <c r="D33" s="18" t="inlineStr">
        <is>
          <t>GIR Tech Lead</t>
        </is>
      </c>
      <c r="E33" s="18" t="inlineStr">
        <is>
          <t>4.7</t>
        </is>
      </c>
      <c r="F33" s="12" t="n"/>
      <c r="V33" s="30" t="n"/>
    </row>
    <row r="34">
      <c r="A34" s="18" t="inlineStr">
        <is>
          <t>5.1</t>
        </is>
      </c>
      <c r="B34" s="34" t="inlineStr">
        <is>
          <t>Month 5</t>
        </is>
      </c>
      <c r="C34" s="18" t="inlineStr">
        <is>
          <t>Pre-generation validation</t>
        </is>
      </c>
      <c r="D34" s="18" t="inlineStr">
        <is>
          <t>GIR Tech Lead</t>
        </is>
      </c>
      <c r="E34" s="18" t="inlineStr">
        <is>
          <t>M4</t>
        </is>
      </c>
      <c r="F34" s="12" t="n"/>
      <c r="W34" s="34" t="n"/>
    </row>
    <row r="35">
      <c r="A35" s="18" t="inlineStr">
        <is>
          <t>5.2</t>
        </is>
      </c>
      <c r="B35" s="34" t="inlineStr">
        <is>
          <t>Month 5</t>
        </is>
      </c>
      <c r="C35" s="18" t="inlineStr">
        <is>
          <t>XML file generation</t>
        </is>
      </c>
      <c r="D35" s="18" t="inlineStr">
        <is>
          <t>GIR Tech Lead</t>
        </is>
      </c>
      <c r="E35" s="18" t="inlineStr">
        <is>
          <t>5.1</t>
        </is>
      </c>
      <c r="F35" s="12" t="n"/>
      <c r="W35" s="34" t="n"/>
      <c r="X35" s="34" t="n"/>
    </row>
    <row r="36">
      <c r="A36" s="18" t="inlineStr">
        <is>
          <t>5.3</t>
        </is>
      </c>
      <c r="B36" s="34" t="inlineStr">
        <is>
          <t>Month 5</t>
        </is>
      </c>
      <c r="C36" s="18" t="inlineStr">
        <is>
          <t>Schema validation</t>
        </is>
      </c>
      <c r="D36" s="18" t="inlineStr">
        <is>
          <t>GIR Tech Lead</t>
        </is>
      </c>
      <c r="E36" s="18" t="inlineStr">
        <is>
          <t>5.2</t>
        </is>
      </c>
      <c r="F36" s="12" t="n"/>
      <c r="X36" s="34" t="n"/>
    </row>
    <row r="37">
      <c r="A37" s="18" t="inlineStr">
        <is>
          <t>5.4</t>
        </is>
      </c>
      <c r="B37" s="34" t="inlineStr">
        <is>
          <t>Month 5</t>
        </is>
      </c>
      <c r="C37" s="18" t="inlineStr">
        <is>
          <t>Portal access verification</t>
        </is>
      </c>
      <c r="D37" s="18" t="inlineStr">
        <is>
          <t>GIR Tech Lead</t>
        </is>
      </c>
      <c r="E37" s="18" t="inlineStr">
        <is>
          <t>5.3</t>
        </is>
      </c>
      <c r="F37" s="12" t="n"/>
      <c r="X37" s="34" t="n"/>
      <c r="Y37" s="34" t="n"/>
    </row>
    <row r="38">
      <c r="A38" s="18" t="inlineStr">
        <is>
          <t>5.5</t>
        </is>
      </c>
      <c r="B38" s="34" t="inlineStr">
        <is>
          <t>Month 5</t>
        </is>
      </c>
      <c r="C38" s="18" t="inlineStr">
        <is>
          <t>Test environment submissions</t>
        </is>
      </c>
      <c r="D38" s="18" t="inlineStr">
        <is>
          <t>GIR Tech Lead</t>
        </is>
      </c>
      <c r="E38" s="18" t="inlineStr">
        <is>
          <t>5.4</t>
        </is>
      </c>
      <c r="F38" s="12" t="n"/>
      <c r="Y38" s="34" t="n"/>
    </row>
    <row r="39">
      <c r="A39" s="18" t="inlineStr">
        <is>
          <t>5.6</t>
        </is>
      </c>
      <c r="B39" s="34" t="inlineStr">
        <is>
          <t>Month 5</t>
        </is>
      </c>
      <c r="C39" s="18" t="inlineStr">
        <is>
          <t>Senior review</t>
        </is>
      </c>
      <c r="D39" s="18" t="inlineStr">
        <is>
          <t>Tax Director</t>
        </is>
      </c>
      <c r="E39" s="18" t="inlineStr">
        <is>
          <t>5.5</t>
        </is>
      </c>
      <c r="F39" s="12" t="n"/>
      <c r="Z39" s="34" t="n"/>
    </row>
    <row r="40">
      <c r="A40" s="18" t="inlineStr">
        <is>
          <t>5.7</t>
        </is>
      </c>
      <c r="B40" s="34" t="inlineStr">
        <is>
          <t>Month 5</t>
        </is>
      </c>
      <c r="C40" s="18" t="inlineStr">
        <is>
          <t>External advisor review</t>
        </is>
      </c>
      <c r="D40" s="18" t="inlineStr">
        <is>
          <t>External Adv</t>
        </is>
      </c>
      <c r="E40" s="18" t="inlineStr">
        <is>
          <t>5.6</t>
        </is>
      </c>
      <c r="F40" s="12" t="n"/>
      <c r="Z40" s="34" t="n"/>
    </row>
    <row r="41">
      <c r="A41" s="18" t="inlineStr">
        <is>
          <t>5.8</t>
        </is>
      </c>
      <c r="B41" s="34" t="inlineStr">
        <is>
          <t>Month 5</t>
        </is>
      </c>
      <c r="C41" s="18" t="inlineStr">
        <is>
          <t>Pre-filing checklist signed</t>
        </is>
      </c>
      <c r="D41" s="18" t="inlineStr">
        <is>
          <t>Project Lead</t>
        </is>
      </c>
      <c r="E41" s="18" t="inlineStr">
        <is>
          <t>5.7</t>
        </is>
      </c>
      <c r="F41" s="12" t="n"/>
      <c r="Z41" s="34" t="n"/>
    </row>
    <row r="42">
      <c r="A42" s="18" t="inlineStr">
        <is>
          <t>M5</t>
        </is>
      </c>
      <c r="B42" s="28" t="inlineStr">
        <is>
          <t>Milestone</t>
        </is>
      </c>
      <c r="C42" s="29" t="inlineStr">
        <is>
          <t>Month 5 complete: XML ready</t>
        </is>
      </c>
      <c r="D42" s="18" t="inlineStr">
        <is>
          <t>GIR Tech Lead</t>
        </is>
      </c>
      <c r="E42" s="18" t="inlineStr">
        <is>
          <t>5.8</t>
        </is>
      </c>
      <c r="F42" s="12" t="n"/>
      <c r="Z42" s="30" t="n"/>
    </row>
    <row r="43">
      <c r="A43" s="18" t="inlineStr">
        <is>
          <t>6.1</t>
        </is>
      </c>
      <c r="B43" s="35" t="inlineStr">
        <is>
          <t>Month 6</t>
        </is>
      </c>
      <c r="C43" s="18" t="inlineStr">
        <is>
          <t>Filing sequence planning</t>
        </is>
      </c>
      <c r="D43" s="18" t="inlineStr">
        <is>
          <t>GIR Tech Lead</t>
        </is>
      </c>
      <c r="E43" s="18" t="inlineStr">
        <is>
          <t>M5</t>
        </is>
      </c>
      <c r="F43" s="12" t="n"/>
      <c r="AA43" s="35" t="n"/>
    </row>
    <row r="44">
      <c r="A44" s="18" t="inlineStr">
        <is>
          <t>6.2</t>
        </is>
      </c>
      <c r="B44" s="35" t="inlineStr">
        <is>
          <t>Month 6</t>
        </is>
      </c>
      <c r="C44" s="18" t="inlineStr">
        <is>
          <t>Primary jurisdiction filing</t>
        </is>
      </c>
      <c r="D44" s="18" t="inlineStr">
        <is>
          <t>GIR Tech Lead</t>
        </is>
      </c>
      <c r="E44" s="18" t="inlineStr">
        <is>
          <t>6.1</t>
        </is>
      </c>
      <c r="F44" s="12" t="n"/>
      <c r="AA44" s="35" t="n"/>
      <c r="AB44" s="35" t="n"/>
    </row>
    <row r="45">
      <c r="A45" s="18" t="inlineStr">
        <is>
          <t>6.3</t>
        </is>
      </c>
      <c r="B45" s="35" t="inlineStr">
        <is>
          <t>Month 6</t>
        </is>
      </c>
      <c r="C45" s="18" t="inlineStr">
        <is>
          <t>Secondary jurisdiction filings</t>
        </is>
      </c>
      <c r="D45" s="18" t="inlineStr">
        <is>
          <t>GIR Tech Lead</t>
        </is>
      </c>
      <c r="E45" s="18" t="inlineStr">
        <is>
          <t>6.2</t>
        </is>
      </c>
      <c r="F45" s="12" t="n"/>
      <c r="AB45" s="35" t="n"/>
    </row>
    <row r="46">
      <c r="A46" s="18" t="inlineStr">
        <is>
          <t>6.4</t>
        </is>
      </c>
      <c r="B46" s="35" t="inlineStr">
        <is>
          <t>Month 6</t>
        </is>
      </c>
      <c r="C46" s="18" t="inlineStr">
        <is>
          <t>Submission confirmation</t>
        </is>
      </c>
      <c r="D46" s="18" t="inlineStr">
        <is>
          <t>GIR Tech Lead</t>
        </is>
      </c>
      <c r="E46" s="18" t="inlineStr">
        <is>
          <t>6.3</t>
        </is>
      </c>
      <c r="F46" s="12" t="n"/>
      <c r="AB46" s="35" t="n"/>
      <c r="AC46" s="35" t="n"/>
    </row>
    <row r="47">
      <c r="A47" s="18" t="inlineStr">
        <is>
          <t>6.5</t>
        </is>
      </c>
      <c r="B47" s="35" t="inlineStr">
        <is>
          <t>Month 6</t>
        </is>
      </c>
      <c r="C47" s="18" t="inlineStr">
        <is>
          <t>Issue resolution (if required)</t>
        </is>
      </c>
      <c r="D47" s="18" t="inlineStr">
        <is>
          <t>GIR Tech Lead</t>
        </is>
      </c>
      <c r="E47" s="18" t="inlineStr">
        <is>
          <t>6.4</t>
        </is>
      </c>
      <c r="F47" s="12" t="n"/>
      <c r="AB47" s="35" t="n"/>
      <c r="AC47" s="35" t="n"/>
    </row>
    <row r="48">
      <c r="A48" s="18" t="inlineStr">
        <is>
          <t>6.6</t>
        </is>
      </c>
      <c r="B48" s="35" t="inlineStr">
        <is>
          <t>Month 6</t>
        </is>
      </c>
      <c r="C48" s="18" t="inlineStr">
        <is>
          <t>Audit file assembly</t>
        </is>
      </c>
      <c r="D48" s="18" t="inlineStr">
        <is>
          <t>GIR Tech Lead</t>
        </is>
      </c>
      <c r="E48" s="18" t="inlineStr">
        <is>
          <t>6.4</t>
        </is>
      </c>
      <c r="F48" s="12" t="n"/>
      <c r="AC48" s="35" t="n"/>
    </row>
    <row r="49">
      <c r="A49" s="18" t="inlineStr">
        <is>
          <t>6.7</t>
        </is>
      </c>
      <c r="B49" s="35" t="inlineStr">
        <is>
          <t>Month 6</t>
        </is>
      </c>
      <c r="C49" s="18" t="inlineStr">
        <is>
          <t>Lessons learned session</t>
        </is>
      </c>
      <c r="D49" s="18" t="inlineStr">
        <is>
          <t>Project Lead</t>
        </is>
      </c>
      <c r="E49" s="18" t="inlineStr">
        <is>
          <t>6.6</t>
        </is>
      </c>
      <c r="F49" s="12" t="n"/>
      <c r="AC49" s="35" t="n"/>
      <c r="AD49" s="35" t="n"/>
    </row>
    <row r="50">
      <c r="A50" s="18" t="inlineStr">
        <is>
          <t>6.8</t>
        </is>
      </c>
      <c r="B50" s="35" t="inlineStr">
        <is>
          <t>Month 6</t>
        </is>
      </c>
      <c r="C50" s="18" t="inlineStr">
        <is>
          <t>Year 2 planning initiation</t>
        </is>
      </c>
      <c r="D50" s="18" t="inlineStr">
        <is>
          <t>Project Lead</t>
        </is>
      </c>
      <c r="E50" s="18" t="inlineStr">
        <is>
          <t>6.7</t>
        </is>
      </c>
      <c r="F50" s="12" t="n"/>
      <c r="AD50" s="35" t="n"/>
    </row>
    <row r="51">
      <c r="A51" s="18" t="inlineStr">
        <is>
          <t>M6</t>
        </is>
      </c>
      <c r="B51" s="28" t="inlineStr">
        <is>
          <t>Milestone</t>
        </is>
      </c>
      <c r="C51" s="29" t="inlineStr">
        <is>
          <t>PROJECT COMPLETE: GIR Filed</t>
        </is>
      </c>
      <c r="D51" s="18" t="inlineStr">
        <is>
          <t>Project Lead</t>
        </is>
      </c>
      <c r="E51" s="18" t="inlineStr">
        <is>
          <t>6.8</t>
        </is>
      </c>
      <c r="F51" s="12" t="n"/>
      <c r="AD51" s="30" t="n"/>
    </row>
  </sheetData>
  <mergeCells count="1">
    <mergeCell ref="A1:Z1"/>
  </mergeCells>
  <dataValidations count="1">
    <dataValidation sqref="E5 E6 E7 E8 E9 E10 E11 F4 F5 F6 F7 F8 F9 F10 F11 F12 F13 F14 F15 F16 F17 F18 F19 F20 F21 F22 F23 F24 F25 F26 F27 F28 F29 F30 F31 F32 F33 F34 F35 F36 F37 F38 F39 F40 F41 F42 F43 F44 F45 F46 F47 F48 F49 F50 F51" showDropDown="0" showInputMessage="0" showErrorMessage="0" allowBlank="1" type="list">
      <formula1>"Not Started,In Progress,Complete,Delayed,Blocked"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8" customWidth="1" min="1" max="1"/>
    <col width="35" customWidth="1" min="2" max="2"/>
    <col width="12" customWidth="1" min="3" max="3"/>
    <col width="15" customWidth="1" min="4" max="4"/>
    <col width="12" customWidth="1" min="5" max="5"/>
    <col width="15" customWidth="1" min="6" max="6"/>
    <col width="30" customWidth="1" min="7" max="7"/>
  </cols>
  <sheetData>
    <row r="1">
      <c r="A1" s="11" t="inlineStr">
        <is>
          <t>KEY MILESTONES</t>
        </is>
      </c>
    </row>
    <row r="3">
      <c r="A3" s="16" t="inlineStr">
        <is>
          <t>#</t>
        </is>
      </c>
      <c r="B3" s="16" t="inlineStr">
        <is>
          <t>Milestone</t>
        </is>
      </c>
      <c r="C3" s="16" t="inlineStr">
        <is>
          <t>Target Week</t>
        </is>
      </c>
      <c r="D3" s="16" t="inlineStr">
        <is>
          <t>Target Date</t>
        </is>
      </c>
      <c r="E3" s="16" t="inlineStr">
        <is>
          <t>Status</t>
        </is>
      </c>
      <c r="F3" s="16" t="inlineStr">
        <is>
          <t>Actual Date</t>
        </is>
      </c>
      <c r="G3" s="16" t="inlineStr">
        <is>
          <t>Notes</t>
        </is>
      </c>
    </row>
    <row r="4">
      <c r="A4" s="18" t="inlineStr">
        <is>
          <t>M1</t>
        </is>
      </c>
      <c r="B4" s="18" t="inlineStr">
        <is>
          <t>Project charter approved</t>
        </is>
      </c>
      <c r="C4" s="18" t="inlineStr">
        <is>
          <t>Week 1</t>
        </is>
      </c>
      <c r="D4" s="12" t="n"/>
      <c r="E4" s="12" t="n"/>
      <c r="F4" s="12" t="n"/>
      <c r="G4" s="12" t="n"/>
    </row>
    <row r="5">
      <c r="A5" s="18" t="inlineStr">
        <is>
          <t>M2</t>
        </is>
      </c>
      <c r="B5" s="18" t="inlineStr">
        <is>
          <t>Core team assembled</t>
        </is>
      </c>
      <c r="C5" s="18" t="inlineStr">
        <is>
          <t>Week 2</t>
        </is>
      </c>
      <c r="D5" s="12" t="n"/>
      <c r="E5" s="12" t="n"/>
      <c r="F5" s="12" t="n"/>
      <c r="G5" s="12" t="n"/>
    </row>
    <row r="6">
      <c r="A6" s="18" t="inlineStr">
        <is>
          <t>M3</t>
        </is>
      </c>
      <c r="B6" s="18" t="inlineStr">
        <is>
          <t>Scope assessment finalized</t>
        </is>
      </c>
      <c r="C6" s="18" t="inlineStr">
        <is>
          <t>Week 4</t>
        </is>
      </c>
      <c r="D6" s="12" t="n"/>
      <c r="E6" s="12" t="n"/>
      <c r="F6" s="12" t="n"/>
      <c r="G6" s="12" t="n"/>
    </row>
    <row r="7">
      <c r="A7" s="18" t="inlineStr">
        <is>
          <t>M4</t>
        </is>
      </c>
      <c r="B7" s="18" t="inlineStr">
        <is>
          <t>Data point mapping 100% complete</t>
        </is>
      </c>
      <c r="C7" s="18" t="inlineStr">
        <is>
          <t>Week 6</t>
        </is>
      </c>
      <c r="D7" s="12" t="n"/>
      <c r="E7" s="12" t="n"/>
      <c r="F7" s="12" t="n"/>
      <c r="G7" s="12" t="n"/>
    </row>
    <row r="8">
      <c r="A8" s="18" t="inlineStr">
        <is>
          <t>M5</t>
        </is>
      </c>
      <c r="B8" s="18" t="inlineStr">
        <is>
          <t>Gap register finalized</t>
        </is>
      </c>
      <c r="C8" s="18" t="inlineStr">
        <is>
          <t>Week 7</t>
        </is>
      </c>
      <c r="D8" s="12" t="n"/>
      <c r="E8" s="12" t="n"/>
      <c r="F8" s="12" t="n"/>
      <c r="G8" s="12" t="n"/>
    </row>
    <row r="9">
      <c r="A9" s="18" t="inlineStr">
        <is>
          <t>M6</t>
        </is>
      </c>
      <c r="B9" s="18" t="inlineStr">
        <is>
          <t>Remediation plans approved</t>
        </is>
      </c>
      <c r="C9" s="18" t="inlineStr">
        <is>
          <t>Week 8</t>
        </is>
      </c>
      <c r="D9" s="12" t="n"/>
      <c r="E9" s="12" t="n"/>
      <c r="F9" s="12" t="n"/>
      <c r="G9" s="12" t="n"/>
    </row>
    <row r="10">
      <c r="A10" s="18" t="inlineStr">
        <is>
          <t>M7</t>
        </is>
      </c>
      <c r="B10" s="18" t="inlineStr">
        <is>
          <t>GIR Calculator configured</t>
        </is>
      </c>
      <c r="C10" s="18" t="inlineStr">
        <is>
          <t>Week 9</t>
        </is>
      </c>
      <c r="D10" s="12" t="n"/>
      <c r="E10" s="12" t="n"/>
      <c r="F10" s="12" t="n"/>
      <c r="G10" s="12" t="n"/>
    </row>
    <row r="11">
      <c r="A11" s="18" t="inlineStr">
        <is>
          <t>M8</t>
        </is>
      </c>
      <c r="B11" s="18" t="inlineStr">
        <is>
          <t>ERP extractions complete</t>
        </is>
      </c>
      <c r="C11" s="18" t="inlineStr">
        <is>
          <t>Week 10</t>
        </is>
      </c>
      <c r="D11" s="12" t="n"/>
      <c r="E11" s="12" t="n"/>
      <c r="F11" s="12" t="n"/>
      <c r="G11" s="12" t="n"/>
    </row>
    <row r="12">
      <c r="A12" s="18" t="inlineStr">
        <is>
          <t>M9</t>
        </is>
      </c>
      <c r="B12" s="18" t="inlineStr">
        <is>
          <t>Entity data 100% collected</t>
        </is>
      </c>
      <c r="C12" s="18" t="inlineStr">
        <is>
          <t>Week 12</t>
        </is>
      </c>
      <c r="D12" s="12" t="n"/>
      <c r="E12" s="12" t="n"/>
      <c r="F12" s="12" t="n"/>
      <c r="G12" s="12" t="n"/>
    </row>
    <row r="13">
      <c r="A13" s="18" t="inlineStr">
        <is>
          <t>M10</t>
        </is>
      </c>
      <c r="B13" s="18" t="inlineStr">
        <is>
          <t>Data validation completed</t>
        </is>
      </c>
      <c r="C13" s="18" t="inlineStr">
        <is>
          <t>Week 12</t>
        </is>
      </c>
      <c r="D13" s="12" t="n"/>
      <c r="E13" s="12" t="n"/>
      <c r="F13" s="12" t="n"/>
      <c r="G13" s="12" t="n"/>
    </row>
    <row r="14">
      <c r="A14" s="18" t="inlineStr">
        <is>
          <t>M11</t>
        </is>
      </c>
      <c r="B14" s="18" t="inlineStr">
        <is>
          <t>Section 1-3 completed</t>
        </is>
      </c>
      <c r="C14" s="18" t="inlineStr">
        <is>
          <t>Week 16</t>
        </is>
      </c>
      <c r="D14" s="12" t="n"/>
      <c r="E14" s="12" t="n"/>
      <c r="F14" s="12" t="n"/>
      <c r="G14" s="12" t="n"/>
    </row>
    <row r="15">
      <c r="A15" s="18" t="inlineStr">
        <is>
          <t>M12</t>
        </is>
      </c>
      <c r="B15" s="18" t="inlineStr">
        <is>
          <t>Full GIR internal review</t>
        </is>
      </c>
      <c r="C15" s="18" t="inlineStr">
        <is>
          <t>Week 16</t>
        </is>
      </c>
      <c r="D15" s="12" t="n"/>
      <c r="E15" s="12" t="n"/>
      <c r="F15" s="12" t="n"/>
      <c r="G15" s="12" t="n"/>
    </row>
    <row r="16">
      <c r="A16" s="18" t="inlineStr">
        <is>
          <t>M13</t>
        </is>
      </c>
      <c r="B16" s="18" t="inlineStr">
        <is>
          <t>XML file generated</t>
        </is>
      </c>
      <c r="C16" s="18" t="inlineStr">
        <is>
          <t>Week 17</t>
        </is>
      </c>
      <c r="D16" s="12" t="n"/>
      <c r="E16" s="12" t="n"/>
      <c r="F16" s="12" t="n"/>
      <c r="G16" s="12" t="n"/>
    </row>
    <row r="17">
      <c r="A17" s="18" t="inlineStr">
        <is>
          <t>M14</t>
        </is>
      </c>
      <c r="B17" s="18" t="inlineStr">
        <is>
          <t>Schema validation passed</t>
        </is>
      </c>
      <c r="C17" s="18" t="inlineStr">
        <is>
          <t>Week 18</t>
        </is>
      </c>
      <c r="D17" s="12" t="n"/>
      <c r="E17" s="12" t="n"/>
      <c r="F17" s="12" t="n"/>
      <c r="G17" s="12" t="n"/>
    </row>
    <row r="18">
      <c r="A18" s="18" t="inlineStr">
        <is>
          <t>M15</t>
        </is>
      </c>
      <c r="B18" s="18" t="inlineStr">
        <is>
          <t>Test submissions completed</t>
        </is>
      </c>
      <c r="C18" s="18" t="inlineStr">
        <is>
          <t>Week 19</t>
        </is>
      </c>
      <c r="D18" s="12" t="n"/>
      <c r="E18" s="12" t="n"/>
      <c r="F18" s="12" t="n"/>
      <c r="G18" s="12" t="n"/>
    </row>
    <row r="19">
      <c r="A19" s="18" t="inlineStr">
        <is>
          <t>M16</t>
        </is>
      </c>
      <c r="B19" s="18" t="inlineStr">
        <is>
          <t>Pre-filing checklist signed</t>
        </is>
      </c>
      <c r="C19" s="18" t="inlineStr">
        <is>
          <t>Week 20</t>
        </is>
      </c>
      <c r="D19" s="12" t="n"/>
      <c r="E19" s="12" t="n"/>
      <c r="F19" s="12" t="n"/>
      <c r="G19" s="12" t="n"/>
    </row>
    <row r="20">
      <c r="A20" s="18" t="inlineStr">
        <is>
          <t>M17</t>
        </is>
      </c>
      <c r="B20" s="18" t="inlineStr">
        <is>
          <t>Primary GIR filed</t>
        </is>
      </c>
      <c r="C20" s="18" t="inlineStr">
        <is>
          <t>Week 21</t>
        </is>
      </c>
      <c r="D20" s="12" t="n"/>
      <c r="E20" s="12" t="n"/>
      <c r="F20" s="12" t="n"/>
      <c r="G20" s="12" t="n"/>
    </row>
    <row r="21">
      <c r="A21" s="18" t="inlineStr">
        <is>
          <t>M18</t>
        </is>
      </c>
      <c r="B21" s="18" t="inlineStr">
        <is>
          <t>All GIRs filed</t>
        </is>
      </c>
      <c r="C21" s="18" t="inlineStr">
        <is>
          <t>Week 22</t>
        </is>
      </c>
      <c r="D21" s="12" t="n"/>
      <c r="E21" s="12" t="n"/>
      <c r="F21" s="12" t="n"/>
      <c r="G21" s="12" t="n"/>
    </row>
    <row r="22">
      <c r="A22" s="18" t="inlineStr">
        <is>
          <t>M19</t>
        </is>
      </c>
      <c r="B22" s="18" t="inlineStr">
        <is>
          <t>Filing acceptance confirmed</t>
        </is>
      </c>
      <c r="C22" s="18" t="inlineStr">
        <is>
          <t>Week 22</t>
        </is>
      </c>
      <c r="D22" s="12" t="n"/>
      <c r="E22" s="12" t="n"/>
      <c r="F22" s="12" t="n"/>
      <c r="G22" s="12" t="n"/>
    </row>
    <row r="23">
      <c r="A23" s="18" t="inlineStr">
        <is>
          <t>M20</t>
        </is>
      </c>
      <c r="B23" s="18" t="inlineStr">
        <is>
          <t>PROJECT COMPLETE</t>
        </is>
      </c>
      <c r="C23" s="18" t="inlineStr">
        <is>
          <t>Week 24</t>
        </is>
      </c>
      <c r="D23" s="12" t="n"/>
      <c r="E23" s="12" t="n"/>
      <c r="F23" s="12" t="n"/>
      <c r="G23" s="12" t="n"/>
    </row>
    <row r="26">
      <c r="A26" s="2" t="inlineStr">
        <is>
          <t>MILESTONE SUMMARY</t>
        </is>
      </c>
    </row>
    <row r="28">
      <c r="A28" t="inlineStr">
        <is>
          <t>Total Milestones:</t>
        </is>
      </c>
      <c r="B28" s="24" t="inlineStr">
        <is>
          <t>20</t>
        </is>
      </c>
    </row>
    <row r="29">
      <c r="A29" t="inlineStr">
        <is>
          <t>Complete:</t>
        </is>
      </c>
      <c r="B29" s="24">
        <f>COUNTIF(E4:E23,"Complete")</f>
        <v/>
      </c>
    </row>
    <row r="30">
      <c r="A30" t="inlineStr">
        <is>
          <t>On Track:</t>
        </is>
      </c>
      <c r="B30" s="24">
        <f>COUNTIF(E4:E23,"On Track")</f>
        <v/>
      </c>
    </row>
    <row r="31">
      <c r="A31" t="inlineStr">
        <is>
          <t>At Risk:</t>
        </is>
      </c>
      <c r="B31" s="24">
        <f>COUNTIF(E4:E23,"At Risk")</f>
        <v/>
      </c>
    </row>
    <row r="32">
      <c r="A32" t="inlineStr">
        <is>
          <t>Overdue:</t>
        </is>
      </c>
      <c r="B32" s="24">
        <f>COUNTIF(E4:E23,"Overdue")</f>
        <v/>
      </c>
    </row>
  </sheetData>
  <mergeCells count="1">
    <mergeCell ref="A1:G1"/>
  </mergeCells>
  <dataValidations count="1">
    <dataValidation sqref="E4 E5 E6 E7 E8 E9 E10 E11 E12 E13 E14 E15 E16 E17 E18 E19 E20 E21 E22 E23" showDropDown="0" showInputMessage="0" showErrorMessage="0" allowBlank="1" type="list">
      <formula1>"Not Started,On Track,Complete,At Risk,Overdue"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1" t="inlineStr">
        <is>
          <t>RESOURCE ALLOCATION BY MONTH</t>
        </is>
      </c>
    </row>
    <row r="3">
      <c r="A3" s="16" t="inlineStr">
        <is>
          <t>Role</t>
        </is>
      </c>
      <c r="B3" s="16" t="inlineStr">
        <is>
          <t>Month 1</t>
        </is>
      </c>
      <c r="C3" s="16" t="inlineStr">
        <is>
          <t>Month 2</t>
        </is>
      </c>
      <c r="D3" s="16" t="inlineStr">
        <is>
          <t>Month 3</t>
        </is>
      </c>
      <c r="E3" s="16" t="inlineStr">
        <is>
          <t>Month 4</t>
        </is>
      </c>
      <c r="F3" s="16" t="inlineStr">
        <is>
          <t>Month 5</t>
        </is>
      </c>
      <c r="G3" s="16" t="inlineStr">
        <is>
          <t>Month 6</t>
        </is>
      </c>
      <c r="H3" s="16" t="inlineStr">
        <is>
          <t>Total Hours</t>
        </is>
      </c>
    </row>
    <row r="4">
      <c r="A4" s="18" t="inlineStr">
        <is>
          <t>Project Lead</t>
        </is>
      </c>
      <c r="B4" s="12" t="inlineStr">
        <is>
          <t>40%</t>
        </is>
      </c>
      <c r="C4" s="12" t="inlineStr">
        <is>
          <t>30%</t>
        </is>
      </c>
      <c r="D4" s="12" t="inlineStr">
        <is>
          <t>30%</t>
        </is>
      </c>
      <c r="E4" s="12" t="inlineStr">
        <is>
          <t>30%</t>
        </is>
      </c>
      <c r="F4" s="12" t="inlineStr">
        <is>
          <t>40%</t>
        </is>
      </c>
      <c r="G4" s="12" t="inlineStr">
        <is>
          <t>30%</t>
        </is>
      </c>
      <c r="H4" s="36">
        <f>170*(VALUE(SUBSTITUTE(B4,"%",""))+VALUE(SUBSTITUTE(C4,"%",""))+VALUE(SUBSTITUTE(D4,"%",""))+VALUE(SUBSTITUTE(E4,"%",""))+VALUE(SUBSTITUTE(F4,"%",""))+VALUE(SUBSTITUTE(G4,"%","")))/100</f>
        <v/>
      </c>
    </row>
    <row r="5">
      <c r="A5" s="18" t="inlineStr">
        <is>
          <t>GIR Technical Lead</t>
        </is>
      </c>
      <c r="B5" s="12" t="inlineStr">
        <is>
          <t>20%</t>
        </is>
      </c>
      <c r="C5" s="12" t="inlineStr">
        <is>
          <t>40%</t>
        </is>
      </c>
      <c r="D5" s="12" t="inlineStr">
        <is>
          <t>60%</t>
        </is>
      </c>
      <c r="E5" s="12" t="inlineStr">
        <is>
          <t>80%</t>
        </is>
      </c>
      <c r="F5" s="12" t="inlineStr">
        <is>
          <t>80%</t>
        </is>
      </c>
      <c r="G5" s="12" t="inlineStr">
        <is>
          <t>60%</t>
        </is>
      </c>
      <c r="H5" s="36">
        <f>170*(VALUE(SUBSTITUTE(B5,"%",""))+VALUE(SUBSTITUTE(C5,"%",""))+VALUE(SUBSTITUTE(D5,"%",""))+VALUE(SUBSTITUTE(E5,"%",""))+VALUE(SUBSTITUTE(F5,"%",""))+VALUE(SUBSTITUTE(G5,"%","")))/100</f>
        <v/>
      </c>
    </row>
    <row r="6">
      <c r="A6" s="18" t="inlineStr">
        <is>
          <t>Data Lead</t>
        </is>
      </c>
      <c r="B6" s="12" t="inlineStr">
        <is>
          <t>20%</t>
        </is>
      </c>
      <c r="C6" s="12" t="inlineStr">
        <is>
          <t>60%</t>
        </is>
      </c>
      <c r="D6" s="12" t="inlineStr">
        <is>
          <t>60%</t>
        </is>
      </c>
      <c r="E6" s="12" t="inlineStr">
        <is>
          <t>40%</t>
        </is>
      </c>
      <c r="F6" s="12" t="inlineStr">
        <is>
          <t>20%</t>
        </is>
      </c>
      <c r="G6" s="12" t="inlineStr">
        <is>
          <t>10%</t>
        </is>
      </c>
      <c r="H6" s="36">
        <f>170*(VALUE(SUBSTITUTE(B6,"%",""))+VALUE(SUBSTITUTE(C6,"%",""))+VALUE(SUBSTITUTE(D6,"%",""))+VALUE(SUBSTITUTE(E6,"%",""))+VALUE(SUBSTITUTE(F6,"%",""))+VALUE(SUBSTITUTE(G6,"%","")))/100</f>
        <v/>
      </c>
    </row>
    <row r="7">
      <c r="A7" s="18" t="inlineStr">
        <is>
          <t>ERP/Systems Lead</t>
        </is>
      </c>
      <c r="B7" s="12" t="inlineStr">
        <is>
          <t>10%</t>
        </is>
      </c>
      <c r="C7" s="12" t="inlineStr">
        <is>
          <t>20%</t>
        </is>
      </c>
      <c r="D7" s="12" t="inlineStr">
        <is>
          <t>40%</t>
        </is>
      </c>
      <c r="E7" s="12" t="inlineStr">
        <is>
          <t>20%</t>
        </is>
      </c>
      <c r="F7" s="12" t="inlineStr">
        <is>
          <t>10%</t>
        </is>
      </c>
      <c r="G7" s="12" t="inlineStr">
        <is>
          <t>5%</t>
        </is>
      </c>
      <c r="H7" s="36">
        <f>170*(VALUE(SUBSTITUTE(B7,"%",""))+VALUE(SUBSTITUTE(C7,"%",""))+VALUE(SUBSTITUTE(D7,"%",""))+VALUE(SUBSTITUTE(E7,"%",""))+VALUE(SUBSTITUTE(F7,"%",""))+VALUE(SUBSTITUTE(G7,"%","")))/100</f>
        <v/>
      </c>
    </row>
    <row r="8">
      <c r="A8" s="18" t="inlineStr">
        <is>
          <t>Entity Coordinator</t>
        </is>
      </c>
      <c r="B8" s="12" t="inlineStr">
        <is>
          <t>30%</t>
        </is>
      </c>
      <c r="C8" s="12" t="inlineStr">
        <is>
          <t>50%</t>
        </is>
      </c>
      <c r="D8" s="12" t="inlineStr">
        <is>
          <t>60%</t>
        </is>
      </c>
      <c r="E8" s="12" t="inlineStr">
        <is>
          <t>30%</t>
        </is>
      </c>
      <c r="F8" s="12" t="inlineStr">
        <is>
          <t>10%</t>
        </is>
      </c>
      <c r="G8" s="12" t="inlineStr">
        <is>
          <t>10%</t>
        </is>
      </c>
      <c r="H8" s="36">
        <f>170*(VALUE(SUBSTITUTE(B8,"%",""))+VALUE(SUBSTITUTE(C8,"%",""))+VALUE(SUBSTITUTE(D8,"%",""))+VALUE(SUBSTITUTE(E8,"%",""))+VALUE(SUBSTITUTE(F8,"%",""))+VALUE(SUBSTITUTE(G8,"%","")))/100</f>
        <v/>
      </c>
    </row>
    <row r="9">
      <c r="A9" s="18" t="inlineStr">
        <is>
          <t>External Advisor</t>
        </is>
      </c>
      <c r="B9" s="12" t="inlineStr">
        <is>
          <t>10%</t>
        </is>
      </c>
      <c r="C9" s="12" t="inlineStr">
        <is>
          <t>10%</t>
        </is>
      </c>
      <c r="D9" s="12" t="inlineStr">
        <is>
          <t>10%</t>
        </is>
      </c>
      <c r="E9" s="12" t="inlineStr">
        <is>
          <t>20%</t>
        </is>
      </c>
      <c r="F9" s="12" t="inlineStr">
        <is>
          <t>30%</t>
        </is>
      </c>
      <c r="G9" s="12" t="inlineStr">
        <is>
          <t>10%</t>
        </is>
      </c>
      <c r="H9" s="36">
        <f>170*(VALUE(SUBSTITUTE(B9,"%",""))+VALUE(SUBSTITUTE(C9,"%",""))+VALUE(SUBSTITUTE(D9,"%",""))+VALUE(SUBSTITUTE(E9,"%",""))+VALUE(SUBSTITUTE(F9,"%",""))+VALUE(SUBSTITUTE(G9,"%","")))/100</f>
        <v/>
      </c>
    </row>
    <row r="10">
      <c r="A10" s="29" t="inlineStr">
        <is>
          <t>TOTAL PROJECT HOURS</t>
        </is>
      </c>
      <c r="B10" s="18" t="n"/>
      <c r="C10" s="18" t="n"/>
      <c r="D10" s="18" t="n"/>
      <c r="E10" s="18" t="n"/>
      <c r="F10" s="18" t="n"/>
      <c r="G10" s="18" t="n"/>
      <c r="H10" s="37">
        <f>SUM(H4:H9)</f>
        <v/>
      </c>
    </row>
    <row r="13">
      <c r="A13" s="2" t="inlineStr">
        <is>
          <t>PEAK RESOURCE PERIODS</t>
        </is>
      </c>
    </row>
    <row r="15">
      <c r="A15" s="3" t="inlineStr">
        <is>
          <t>Month 3: Data Collection Peak</t>
        </is>
      </c>
      <c r="C15" t="inlineStr">
        <is>
          <t>Highest demand on Entity Coordinator and Data Lead</t>
        </is>
      </c>
    </row>
    <row r="16">
      <c r="A16" s="3" t="inlineStr">
        <is>
          <t>Month 4: Calculator Completion</t>
        </is>
      </c>
      <c r="C16" t="inlineStr">
        <is>
          <t>GIR Technical Lead at maximum capacity</t>
        </is>
      </c>
    </row>
    <row r="17">
      <c r="A17" s="3" t="inlineStr">
        <is>
          <t>Month 5: Filing Preparation</t>
        </is>
      </c>
      <c r="C17" t="inlineStr">
        <is>
          <t>Technical Lead and Project Lead peak</t>
        </is>
      </c>
    </row>
  </sheetData>
  <mergeCells count="4">
    <mergeCell ref="C16:G16"/>
    <mergeCell ref="C15:G15"/>
    <mergeCell ref="C17:G17"/>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22" customWidth="1" min="2" max="2"/>
    <col width="10" customWidth="1" min="3" max="3"/>
    <col width="12" customWidth="1" min="4" max="4"/>
    <col width="14" customWidth="1" min="5" max="5"/>
    <col width="40" customWidth="1" min="6" max="6"/>
  </cols>
  <sheetData>
    <row r="1">
      <c r="A1" s="11" t="inlineStr">
        <is>
          <t>CRITICAL PATH ACTIVITIES</t>
        </is>
      </c>
    </row>
    <row r="2">
      <c r="A2" s="10" t="inlineStr">
        <is>
          <t>Activities on the critical path must be completed on schedule to meet the filing deadline</t>
        </is>
      </c>
    </row>
    <row r="4">
      <c r="A4" s="16" t="inlineStr">
        <is>
          <t>Activity</t>
        </is>
      </c>
      <c r="B4" s="16" t="inlineStr">
        <is>
          <t>Dependency</t>
        </is>
      </c>
      <c r="C4" s="16" t="inlineStr">
        <is>
          <t>Float</t>
        </is>
      </c>
      <c r="D4" s="16" t="inlineStr">
        <is>
          <t>Duration</t>
        </is>
      </c>
      <c r="E4" s="16" t="inlineStr">
        <is>
          <t>Status</t>
        </is>
      </c>
      <c r="F4" s="16" t="inlineStr">
        <is>
          <t>Impact if Delayed</t>
        </is>
      </c>
    </row>
    <row r="5">
      <c r="A5" s="18" t="inlineStr">
        <is>
          <t>Team assembly</t>
        </is>
      </c>
      <c r="B5" s="18" t="inlineStr">
        <is>
          <t>Project approval</t>
        </is>
      </c>
      <c r="C5" s="18" t="inlineStr">
        <is>
          <t>1 week</t>
        </is>
      </c>
      <c r="D5" s="18" t="inlineStr">
        <is>
          <t>2 weeks</t>
        </is>
      </c>
      <c r="E5" s="12" t="n"/>
      <c r="F5" s="18" t="inlineStr">
        <is>
          <t>Delays all subsequent activities</t>
        </is>
      </c>
    </row>
    <row r="6">
      <c r="A6" s="18" t="inlineStr">
        <is>
          <t>Data point mapping</t>
        </is>
      </c>
      <c r="B6" s="18" t="inlineStr">
        <is>
          <t>Team assembly</t>
        </is>
      </c>
      <c r="C6" s="18" t="inlineStr">
        <is>
          <t>0 days</t>
        </is>
      </c>
      <c r="D6" s="18" t="inlineStr">
        <is>
          <t>2 weeks</t>
        </is>
      </c>
      <c r="E6" s="12" t="n"/>
      <c r="F6" s="18" t="inlineStr">
        <is>
          <t>Cannot identify gaps without mapping</t>
        </is>
      </c>
    </row>
    <row r="7">
      <c r="A7" s="18" t="inlineStr">
        <is>
          <t>Gap remediation</t>
        </is>
      </c>
      <c r="B7" s="18" t="inlineStr">
        <is>
          <t>Gap analysis</t>
        </is>
      </c>
      <c r="C7" s="18" t="inlineStr">
        <is>
          <t>0 days</t>
        </is>
      </c>
      <c r="D7" s="18" t="inlineStr">
        <is>
          <t>1-2 weeks</t>
        </is>
      </c>
      <c r="E7" s="12" t="n"/>
      <c r="F7" s="18" t="inlineStr">
        <is>
          <t>Missing data impacts calculations</t>
        </is>
      </c>
    </row>
    <row r="8">
      <c r="A8" s="18" t="inlineStr">
        <is>
          <t>ERP extraction</t>
        </is>
      </c>
      <c r="B8" s="18" t="inlineStr">
        <is>
          <t>Infrastructure setup</t>
        </is>
      </c>
      <c r="C8" s="18" t="inlineStr">
        <is>
          <t>0 days</t>
        </is>
      </c>
      <c r="D8" s="18" t="inlineStr">
        <is>
          <t>2 weeks</t>
        </is>
      </c>
      <c r="E8" s="12" t="n"/>
      <c r="F8" s="18" t="inlineStr">
        <is>
          <t>Calculator cannot be populated</t>
        </is>
      </c>
    </row>
    <row r="9">
      <c r="A9" s="18" t="inlineStr">
        <is>
          <t>Section 3 completion</t>
        </is>
      </c>
      <c r="B9" s="18" t="inlineStr">
        <is>
          <t>Sections 1-2 complete</t>
        </is>
      </c>
      <c r="C9" s="18" t="inlineStr">
        <is>
          <t>0 days</t>
        </is>
      </c>
      <c r="D9" s="18" t="inlineStr">
        <is>
          <t>2 weeks</t>
        </is>
      </c>
      <c r="E9" s="12" t="n"/>
      <c r="F9" s="18" t="inlineStr">
        <is>
          <t>XML cannot be generated</t>
        </is>
      </c>
    </row>
    <row r="10">
      <c r="A10" s="18" t="inlineStr">
        <is>
          <t>XML validation</t>
        </is>
      </c>
      <c r="B10" s="18" t="inlineStr">
        <is>
          <t>Section 3 complete</t>
        </is>
      </c>
      <c r="C10" s="18" t="inlineStr">
        <is>
          <t>0 days</t>
        </is>
      </c>
      <c r="D10" s="18" t="inlineStr">
        <is>
          <t>1 week</t>
        </is>
      </c>
      <c r="E10" s="12" t="n"/>
      <c r="F10" s="18" t="inlineStr">
        <is>
          <t>Cannot file invalid XML</t>
        </is>
      </c>
    </row>
    <row r="11">
      <c r="A11" s="18" t="inlineStr">
        <is>
          <t>Portal submission</t>
        </is>
      </c>
      <c r="B11" s="18" t="inlineStr">
        <is>
          <t>XML validation passed</t>
        </is>
      </c>
      <c r="C11" s="18" t="inlineStr">
        <is>
          <t>0 days</t>
        </is>
      </c>
      <c r="D11" s="18" t="inlineStr">
        <is>
          <t>1 week</t>
        </is>
      </c>
      <c r="E11" s="12" t="n"/>
      <c r="F11" s="18" t="inlineStr">
        <is>
          <t>Missed deadline, penalties</t>
        </is>
      </c>
    </row>
    <row r="14">
      <c r="A14" s="38" t="inlineStr">
        <is>
          <t>Warning: Any delay in critical path activities directly impacts the filing deadline.</t>
        </is>
      </c>
    </row>
  </sheetData>
  <mergeCells count="2">
    <mergeCell ref="A14:F14"/>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35" customWidth="1" min="2" max="2"/>
    <col width="14" customWidth="1" min="3" max="3"/>
    <col width="14" customWidth="1" min="4" max="4"/>
    <col width="14" customWidth="1" min="5" max="5"/>
    <col width="45" customWidth="1" min="6" max="6"/>
    <col width="18" customWidth="1" min="7" max="7"/>
  </cols>
  <sheetData>
    <row r="1">
      <c r="A1" s="11" t="inlineStr">
        <is>
          <t>PROJECT RISK REGISTER</t>
        </is>
      </c>
    </row>
    <row r="3">
      <c r="A3" s="16" t="inlineStr">
        <is>
          <t>Risk ID</t>
        </is>
      </c>
      <c r="B3" s="16" t="inlineStr">
        <is>
          <t>Risk Description</t>
        </is>
      </c>
      <c r="C3" s="16" t="inlineStr">
        <is>
          <t>Likelihood</t>
        </is>
      </c>
      <c r="D3" s="16" t="inlineStr">
        <is>
          <t>Impact</t>
        </is>
      </c>
      <c r="E3" s="16" t="inlineStr">
        <is>
          <t>Score</t>
        </is>
      </c>
      <c r="F3" s="16" t="inlineStr">
        <is>
          <t>Mitigation</t>
        </is>
      </c>
      <c r="G3" s="16" t="inlineStr">
        <is>
          <t>Owner</t>
        </is>
      </c>
    </row>
    <row r="4">
      <c r="A4" s="18" t="inlineStr">
        <is>
          <t>R01</t>
        </is>
      </c>
      <c r="B4" s="18" t="inlineStr">
        <is>
          <t>Data gaps larger than expected</t>
        </is>
      </c>
      <c r="C4" s="12" t="inlineStr">
        <is>
          <t>High</t>
        </is>
      </c>
      <c r="D4" s="12" t="inlineStr">
        <is>
          <t>High</t>
        </is>
      </c>
      <c r="E4" s="39">
        <f>IF(AND(C4="High",D4="High"),"Critical",IF(OR(AND(C4="High",D4="Medium"),AND(C4="Medium",D4="High")),"High",IF(OR(C4="Low",D4="Low"),"Low","Medium")))</f>
        <v/>
      </c>
      <c r="F4" s="18" t="inlineStr">
        <is>
          <t>Early gap assessment, estimation approach documented</t>
        </is>
      </c>
      <c r="G4" s="12" t="n"/>
    </row>
    <row r="5">
      <c r="A5" s="18" t="inlineStr">
        <is>
          <t>R02</t>
        </is>
      </c>
      <c r="B5" s="18" t="inlineStr">
        <is>
          <t>Entity data collection delays</t>
        </is>
      </c>
      <c r="C5" s="12" t="inlineStr">
        <is>
          <t>Medium</t>
        </is>
      </c>
      <c r="D5" s="12" t="inlineStr">
        <is>
          <t>High</t>
        </is>
      </c>
      <c r="E5" s="39">
        <f>IF(AND(C5="High",D5="High"),"Critical",IF(OR(AND(C5="High",D5="Medium"),AND(C5="Medium",D5="High")),"High",IF(OR(C5="Low",D5="Low"),"Low","Medium")))</f>
        <v/>
      </c>
      <c r="F5" s="18" t="inlineStr">
        <is>
          <t>Regional escalation, deadline enforcement</t>
        </is>
      </c>
      <c r="G5" s="12" t="n"/>
    </row>
    <row r="6">
      <c r="A6" s="18" t="inlineStr">
        <is>
          <t>R03</t>
        </is>
      </c>
      <c r="B6" s="18" t="inlineStr">
        <is>
          <t>ERP extraction issues</t>
        </is>
      </c>
      <c r="C6" s="12" t="inlineStr">
        <is>
          <t>Medium</t>
        </is>
      </c>
      <c r="D6" s="12" t="inlineStr">
        <is>
          <t>Medium</t>
        </is>
      </c>
      <c r="E6" s="39">
        <f>IF(AND(C6="High",D6="High"),"Critical",IF(OR(AND(C6="High",D6="Medium"),AND(C6="Medium",D6="High")),"High",IF(OR(C6="Low",D6="Low"),"Low","Medium")))</f>
        <v/>
      </c>
      <c r="F6" s="18" t="inlineStr">
        <is>
          <t>IT engagement early, backup manual extraction</t>
        </is>
      </c>
      <c r="G6" s="12" t="n"/>
    </row>
    <row r="7">
      <c r="A7" s="18" t="inlineStr">
        <is>
          <t>R04</t>
        </is>
      </c>
      <c r="B7" s="18" t="inlineStr">
        <is>
          <t>Staff resource conflicts</t>
        </is>
      </c>
      <c r="C7" s="12" t="inlineStr">
        <is>
          <t>Medium</t>
        </is>
      </c>
      <c r="D7" s="12" t="inlineStr">
        <is>
          <t>Medium</t>
        </is>
      </c>
      <c r="E7" s="39">
        <f>IF(AND(C7="High",D7="High"),"Critical",IF(OR(AND(C7="High",D7="Medium"),AND(C7="Medium",D7="High")),"High",IF(OR(C7="Low",D7="Low"),"Low","Medium")))</f>
        <v/>
      </c>
      <c r="F7" s="18" t="inlineStr">
        <is>
          <t>Executive sponsor escalation pathway</t>
        </is>
      </c>
      <c r="G7" s="12" t="n"/>
    </row>
    <row r="8">
      <c r="A8" s="18" t="inlineStr">
        <is>
          <t>R05</t>
        </is>
      </c>
      <c r="B8" s="18" t="inlineStr">
        <is>
          <t>Portal technical issues</t>
        </is>
      </c>
      <c r="C8" s="12" t="inlineStr">
        <is>
          <t>Low</t>
        </is>
      </c>
      <c r="D8" s="12" t="inlineStr">
        <is>
          <t>High</t>
        </is>
      </c>
      <c r="E8" s="39">
        <f>IF(AND(C8="High",D8="High"),"Critical",IF(OR(AND(C8="High",D8="Medium"),AND(C8="Medium",D8="High")),"High",IF(OR(C8="Low",D8="Low"),"Low","Medium")))</f>
        <v/>
      </c>
      <c r="F8" s="18" t="inlineStr">
        <is>
          <t>Early testing, multiple submission attempts planned</t>
        </is>
      </c>
      <c r="G8" s="12" t="n"/>
    </row>
    <row r="9">
      <c r="A9" s="18" t="inlineStr">
        <is>
          <t>R06</t>
        </is>
      </c>
      <c r="B9" s="18" t="inlineStr">
        <is>
          <t>Late regulatory changes</t>
        </is>
      </c>
      <c r="C9" s="12" t="inlineStr">
        <is>
          <t>Low</t>
        </is>
      </c>
      <c r="D9" s="12" t="inlineStr">
        <is>
          <t>Medium</t>
        </is>
      </c>
      <c r="E9" s="39">
        <f>IF(AND(C9="High",D9="High"),"Critical",IF(OR(AND(C9="High",D9="Medium"),AND(C9="Medium",D9="High")),"High",IF(OR(C9="Low",D9="Low"),"Low","Medium")))</f>
        <v/>
      </c>
      <c r="F9" s="18" t="inlineStr">
        <is>
          <t>Monitor OECD guidance, build flexibility into timeline</t>
        </is>
      </c>
      <c r="G9" s="12" t="n"/>
    </row>
    <row r="10">
      <c r="A10" s="18" t="inlineStr">
        <is>
          <t>R07</t>
        </is>
      </c>
      <c r="B10" s="18" t="inlineStr">
        <is>
          <t>Key person unavailability</t>
        </is>
      </c>
      <c r="C10" s="12" t="inlineStr">
        <is>
          <t>Medium</t>
        </is>
      </c>
      <c r="D10" s="12" t="inlineStr">
        <is>
          <t>High</t>
        </is>
      </c>
      <c r="E10" s="39">
        <f>IF(AND(C10="High",D10="High"),"Critical",IF(OR(AND(C10="High",D10="Medium"),AND(C10="Medium",D10="High")),"High",IF(OR(C10="Low",D10="Low"),"Low","Medium")))</f>
        <v/>
      </c>
      <c r="F10" s="18" t="inlineStr">
        <is>
          <t>Cross-training, documentation of processes</t>
        </is>
      </c>
      <c r="G10" s="12" t="n"/>
    </row>
    <row r="11">
      <c r="A11" s="18" t="inlineStr">
        <is>
          <t>R08</t>
        </is>
      </c>
      <c r="B11" s="18" t="inlineStr">
        <is>
          <t>XML validation failures</t>
        </is>
      </c>
      <c r="C11" s="12" t="inlineStr">
        <is>
          <t>Medium</t>
        </is>
      </c>
      <c r="D11" s="12" t="inlineStr">
        <is>
          <t>Medium</t>
        </is>
      </c>
      <c r="E11" s="39">
        <f>IF(AND(C11="High",D11="High"),"Critical",IF(OR(AND(C11="High",D11="Medium"),AND(C11="Medium",D11="High")),"High",IF(OR(C11="Low",D11="Low"),"Low","Medium")))</f>
        <v/>
      </c>
      <c r="F11" s="18" t="inlineStr">
        <is>
          <t>Pre-validation testing, schema expertise</t>
        </is>
      </c>
      <c r="G11" s="12" t="n"/>
    </row>
    <row r="14">
      <c r="A14" s="2" t="inlineStr">
        <is>
          <t>RISK MATRIX</t>
        </is>
      </c>
    </row>
    <row r="16">
      <c r="B16" s="18" t="inlineStr"/>
      <c r="C16" s="18" t="inlineStr">
        <is>
          <t>Low Impact</t>
        </is>
      </c>
      <c r="D16" s="18" t="inlineStr">
        <is>
          <t>Medium Impact</t>
        </is>
      </c>
      <c r="E16" s="18" t="inlineStr">
        <is>
          <t>High Impact</t>
        </is>
      </c>
    </row>
    <row r="17">
      <c r="B17" s="18" t="inlineStr">
        <is>
          <t>High Likelihood</t>
        </is>
      </c>
      <c r="C17" s="33" t="inlineStr">
        <is>
          <t>Medium</t>
        </is>
      </c>
      <c r="D17" s="34" t="inlineStr">
        <is>
          <t>High</t>
        </is>
      </c>
      <c r="E17" s="40" t="inlineStr">
        <is>
          <t>Critical</t>
        </is>
      </c>
    </row>
    <row r="18">
      <c r="B18" s="18" t="inlineStr">
        <is>
          <t>Medium Likelihood</t>
        </is>
      </c>
      <c r="C18" s="32" t="inlineStr">
        <is>
          <t>Low</t>
        </is>
      </c>
      <c r="D18" s="33" t="inlineStr">
        <is>
          <t>Medium</t>
        </is>
      </c>
      <c r="E18" s="34" t="inlineStr">
        <is>
          <t>High</t>
        </is>
      </c>
    </row>
    <row r="19">
      <c r="B19" s="18" t="inlineStr">
        <is>
          <t>Low Likelihood</t>
        </is>
      </c>
      <c r="C19" s="32" t="inlineStr">
        <is>
          <t>Low</t>
        </is>
      </c>
      <c r="D19" s="32" t="inlineStr">
        <is>
          <t>Low</t>
        </is>
      </c>
      <c r="E19" s="33" t="inlineStr">
        <is>
          <t>Medium</t>
        </is>
      </c>
    </row>
  </sheetData>
  <mergeCells count="1">
    <mergeCell ref="A1:G1"/>
  </mergeCells>
  <dataValidations count="2">
    <dataValidation sqref="C4 C5 C6 C7 C8 C9 C10 C11" showDropDown="0" showInputMessage="0" showErrorMessage="0" allowBlank="1" type="list">
      <formula1>"Low,Medium,High"</formula1>
    </dataValidation>
    <dataValidation sqref="D4 D5 D6 D7 D8 D9 D10 D11"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2025-12-02T19:13:28Z</dcterms:created>
  <dcterms:modified xsi:type="dcterms:W3CDTF">2025-12-02T19:13:28Z</dcterms:modified>
</cp:coreProperties>
</file>