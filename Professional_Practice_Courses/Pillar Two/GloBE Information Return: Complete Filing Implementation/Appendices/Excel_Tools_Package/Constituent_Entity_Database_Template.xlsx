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ntities" sheetId="2" state="visible" r:id="rId2"/>
    <sheet name="Lookups" sheetId="3" state="visible" r:id="rId3"/>
    <sheet name="SBIE_Rates" sheetId="4" state="visible" r:id="rId4"/>
  </sheets>
  <definedNames>
    <definedName name="_xlnm._FilterDatabase" localSheetId="1" hidden="1">'Entities'!$A$1:$CA$100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  <sz val="14"/>
    </font>
    <font>
      <b val="1"/>
      <sz val="12"/>
    </font>
    <font>
      <b val="1"/>
      <color rgb="00FFFFFF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38135"/>
        <bgColor rgb="00538135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0" fontId="5" fillId="2" borderId="0" applyAlignment="1" pivotButton="0" quotePrefix="0" xfId="0">
      <alignment wrapText="1"/>
    </xf>
    <xf numFmtId="0" fontId="6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164" fontId="0" fillId="0" borderId="0" pivotButton="0" quotePrefix="0" xfId="0"/>
    <xf numFmtId="3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2" customWidth="1" min="4" max="4"/>
    <col width="12" customWidth="1" min="5" max="5"/>
  </cols>
  <sheetData>
    <row r="1">
      <c r="A1" s="1" t="inlineStr">
        <is>
          <t>CONSTITUENT ENTITY DATABASE</t>
        </is>
      </c>
    </row>
    <row r="2">
      <c r="A2" s="2" t="inlineStr">
        <is>
          <t>Per OECD GloBE Information Return Section 1.3 - January 2025</t>
        </is>
      </c>
    </row>
    <row r="4">
      <c r="A4" s="3" t="inlineStr">
        <is>
          <t>ENTITY SUMMARY</t>
        </is>
      </c>
    </row>
    <row r="6">
      <c r="A6" t="inlineStr">
        <is>
          <t>Total Entities:</t>
        </is>
      </c>
      <c r="B6">
        <f>COUNTA(Entities!A:A)-1</f>
        <v/>
      </c>
      <c r="D6" s="4" t="inlineStr">
        <is>
          <t>VALIDATION STATUS</t>
        </is>
      </c>
    </row>
    <row r="7">
      <c r="A7" t="inlineStr">
        <is>
          <t>In-Scope Entities:</t>
        </is>
      </c>
      <c r="B7">
        <f>COUNTIF(Entities!Q:Q,"In-Scope")</f>
        <v/>
      </c>
    </row>
    <row r="8">
      <c r="A8" t="inlineStr">
        <is>
          <t>Excluded Entities:</t>
        </is>
      </c>
      <c r="B8">
        <f>COUNTIF(Entities!AK:AK,"Yes")</f>
        <v/>
      </c>
      <c r="D8" t="inlineStr">
        <is>
          <t>Validated:</t>
        </is>
      </c>
      <c r="E8">
        <f>COUNTIF(Entities!BV:BV,"Validated")</f>
        <v/>
      </c>
    </row>
    <row r="9">
      <c r="A9" t="inlineStr">
        <is>
          <t>Flow-Through Entities:</t>
        </is>
      </c>
      <c r="B9">
        <f>COUNTIF(Entities!AM:AM,"Yes")</f>
        <v/>
      </c>
      <c r="D9" t="inlineStr">
        <is>
          <t>Pending Validation:</t>
        </is>
      </c>
      <c r="E9">
        <f>COUNTIF(Entities!BV:BV,"Pending")</f>
        <v/>
      </c>
    </row>
    <row r="10">
      <c r="D10" t="inlineStr">
        <is>
          <t>Validation Errors:</t>
        </is>
      </c>
      <c r="E10">
        <f>COUNTIF(Entities!BV:BV,"Error")</f>
        <v/>
      </c>
    </row>
    <row r="11">
      <c r="A11" s="3" t="inlineStr">
        <is>
          <t>ENTITY TYPE BREAKDOWN</t>
        </is>
      </c>
    </row>
    <row r="13">
      <c r="A13" t="inlineStr">
        <is>
          <t>UPE (Ultimate Parent):</t>
        </is>
      </c>
      <c r="B13">
        <f>COUNTIF(Entities!P:P,"UPE")</f>
        <v/>
      </c>
    </row>
    <row r="14">
      <c r="A14" t="inlineStr">
        <is>
          <t>Constituent Entities:</t>
        </is>
      </c>
      <c r="B14">
        <f>COUNTIF(Entities!P:P,"CE")</f>
        <v/>
      </c>
    </row>
    <row r="15">
      <c r="A15" t="inlineStr">
        <is>
          <t>Permanent Establishments:</t>
        </is>
      </c>
      <c r="B15">
        <f>COUNTIF(Entities!P:P,"PE")</f>
        <v/>
      </c>
    </row>
    <row r="16">
      <c r="A16" t="inlineStr">
        <is>
          <t>Joint Ventures:</t>
        </is>
      </c>
      <c r="B16">
        <f>COUNTIF(Entities!AS:AS,"Yes")</f>
        <v/>
      </c>
    </row>
    <row r="17">
      <c r="A17" t="inlineStr">
        <is>
          <t>Minority-Owned CEs:</t>
        </is>
      </c>
      <c r="B17">
        <f>COUNTIF(Entities!AV:AV,"Yes")</f>
        <v/>
      </c>
    </row>
    <row r="18">
      <c r="A18" t="inlineStr">
        <is>
          <t>Investment Entities:</t>
        </is>
      </c>
      <c r="B18">
        <f>COUNTIF(Entities!AQ:AQ,"Yes")</f>
        <v/>
      </c>
    </row>
    <row r="20">
      <c r="A20" s="3" t="inlineStr">
        <is>
          <t>JURISDICTION SUMMARY</t>
        </is>
      </c>
    </row>
    <row r="22">
      <c r="A22" t="inlineStr">
        <is>
          <t>Total Jurisdictions:</t>
        </is>
      </c>
      <c r="B22">
        <f>SUMPRODUCT(1/COUNTIF(Entities!D:D,Entities!D:D))-1</f>
        <v/>
      </c>
    </row>
    <row r="23">
      <c r="A23" t="inlineStr">
        <is>
          <t>QIIR Jurisdictions:</t>
        </is>
      </c>
      <c r="B23">
        <f>COUNTIF(Entities!AC:AC,"Yes")</f>
        <v/>
      </c>
    </row>
    <row r="24">
      <c r="A24" t="inlineStr">
        <is>
          <t>UTPR Jurisdictions:</t>
        </is>
      </c>
      <c r="B24">
        <f>COUNTIF(Entities!AF:AF,"Yes")</f>
        <v/>
      </c>
    </row>
    <row r="25">
      <c r="A25" t="inlineStr">
        <is>
          <t>QDMTT Jurisdictions:</t>
        </is>
      </c>
      <c r="B25">
        <f>COUNTIF(Entities!AI:AI,"Yes")</f>
        <v/>
      </c>
    </row>
    <row r="27">
      <c r="A27" s="3" t="inlineStr">
        <is>
          <t>SBIE CALCULATION INPUTS</t>
        </is>
      </c>
    </row>
    <row r="29">
      <c r="A29" t="inlineStr">
        <is>
          <t>Total Employees:</t>
        </is>
      </c>
      <c r="B29">
        <f>SUM(Entities!BO:BO)</f>
        <v/>
      </c>
    </row>
    <row r="30">
      <c r="A30" t="inlineStr">
        <is>
          <t>Total Tangible Assets:</t>
        </is>
      </c>
      <c r="B30" s="5">
        <f>SUM(Entities!BP:BP)</f>
        <v/>
      </c>
    </row>
    <row r="31">
      <c r="A31" t="inlineStr">
        <is>
          <t>Total Payroll Costs:</t>
        </is>
      </c>
      <c r="B31" s="5">
        <f>SUM(Entities!BQ:BQ)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8" customWidth="1" min="4" max="4"/>
    <col width="18" customWidth="1" min="5" max="5"/>
    <col width="15" customWidth="1" min="6" max="6"/>
    <col width="10" customWidth="1" min="7" max="7"/>
    <col width="10" customWidth="1" min="8" max="8"/>
    <col width="25" customWidth="1" min="9" max="9"/>
    <col width="15" customWidth="1" min="10" max="10"/>
    <col width="15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2" customWidth="1" min="17" max="17"/>
    <col width="12" customWidth="1" min="18" max="18"/>
    <col width="10" customWidth="1" min="19" max="19"/>
    <col width="12" customWidth="1" min="20" max="20"/>
    <col width="25" customWidth="1" min="21" max="21"/>
    <col width="10" customWidth="1" min="22" max="22"/>
    <col width="20" customWidth="1" min="23" max="23"/>
    <col width="8" customWidth="1" min="24" max="24"/>
    <col width="8" customWidth="1" min="25" max="25"/>
    <col width="12" customWidth="1" min="26" max="26"/>
    <col width="12" customWidth="1" min="27" max="27"/>
    <col width="20" customWidth="1" min="28" max="28"/>
    <col width="8" customWidth="1" min="29" max="29"/>
    <col width="15" customWidth="1" min="30" max="30"/>
    <col width="8" customWidth="1" min="31" max="31"/>
    <col width="8" customWidth="1" min="32" max="32"/>
    <col width="12" customWidth="1" min="33" max="33"/>
    <col width="8" customWidth="1" min="34" max="34"/>
    <col width="8" customWidth="1" min="35" max="35"/>
    <col width="12" customWidth="1" min="36" max="36"/>
    <col width="8" customWidth="1" min="37" max="37"/>
    <col width="8" customWidth="1" min="38" max="38"/>
    <col width="15" customWidth="1" min="39" max="39"/>
    <col width="20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12" customWidth="1" min="46" max="46"/>
    <col width="15" customWidth="1" min="47" max="47"/>
    <col width="8" customWidth="1" min="48" max="48"/>
    <col width="8" customWidth="1" min="49" max="49"/>
    <col width="8" customWidth="1" min="50" max="50"/>
    <col width="12" customWidth="1" min="51" max="51"/>
    <col width="8" customWidth="1" min="52" max="52"/>
    <col width="8" customWidth="1" min="53" max="53"/>
    <col width="10" customWidth="1" min="54" max="54"/>
    <col width="8" customWidth="1" min="55" max="55"/>
    <col width="12" customWidth="1" min="56" max="56"/>
    <col width="12" customWidth="1" min="57" max="57"/>
    <col width="12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12" customWidth="1" min="64" max="64"/>
    <col width="12" customWidth="1" min="65" max="65"/>
    <col width="20" customWidth="1" min="66" max="66"/>
    <col width="10" customWidth="1" min="67" max="67"/>
    <col width="15" customWidth="1" min="68" max="68"/>
    <col width="12" customWidth="1" min="69" max="69"/>
    <col width="12" customWidth="1" min="70" max="70"/>
    <col width="15" customWidth="1" min="71" max="71"/>
    <col width="12" customWidth="1" min="72" max="72"/>
    <col width="12" customWidth="1" min="73" max="73"/>
    <col width="12" customWidth="1" min="74" max="74"/>
    <col width="25" customWidth="1" min="75" max="75"/>
    <col width="12" customWidth="1" min="76" max="76"/>
    <col width="12" customWidth="1" min="77" max="77"/>
    <col width="12" customWidth="1" min="78" max="78"/>
    <col width="12" customWidth="1" min="79" max="79"/>
  </cols>
  <sheetData>
    <row r="1">
      <c r="A1" s="6" t="inlineStr">
        <is>
          <t>Entity_ID</t>
        </is>
      </c>
      <c r="B1" s="6" t="inlineStr">
        <is>
          <t>Legal_Name</t>
        </is>
      </c>
      <c r="C1" s="6" t="inlineStr">
        <is>
          <t>Trading_Name</t>
        </is>
      </c>
      <c r="D1" s="6" t="inlineStr">
        <is>
          <t>Country_Code</t>
        </is>
      </c>
      <c r="E1" s="6" t="inlineStr">
        <is>
          <t>Country_Name</t>
        </is>
      </c>
      <c r="F1" s="6" t="inlineStr">
        <is>
          <t>TIN</t>
        </is>
      </c>
      <c r="G1" s="6" t="inlineStr">
        <is>
          <t>TIN_Type</t>
        </is>
      </c>
      <c r="H1" s="6" t="inlineStr">
        <is>
          <t>TIN_Issued_By</t>
        </is>
      </c>
      <c r="I1" s="6" t="inlineStr">
        <is>
          <t>Address_Street</t>
        </is>
      </c>
      <c r="J1" s="6" t="inlineStr">
        <is>
          <t>Address_City</t>
        </is>
      </c>
      <c r="K1" s="6" t="inlineStr">
        <is>
          <t>Address_Region</t>
        </is>
      </c>
      <c r="L1" s="6" t="inlineStr">
        <is>
          <t>Address_PostCode</t>
        </is>
      </c>
      <c r="M1" s="6" t="inlineStr">
        <is>
          <t>Address_Country</t>
        </is>
      </c>
      <c r="N1" s="6" t="inlineStr">
        <is>
          <t>Date_of_Incorporation</t>
        </is>
      </c>
      <c r="O1" s="6" t="inlineStr">
        <is>
          <t>Legal_Form</t>
        </is>
      </c>
      <c r="P1" s="6" t="inlineStr">
        <is>
          <t>Entity_Type_GloBE</t>
        </is>
      </c>
      <c r="Q1" s="6" t="inlineStr">
        <is>
          <t>GloBE_Status</t>
        </is>
      </c>
      <c r="R1" s="6" t="inlineStr">
        <is>
          <t>GloBE_Status_Pre_Change</t>
        </is>
      </c>
      <c r="S1" s="6" t="inlineStr">
        <is>
          <t>Ownership_Pct_Direct</t>
        </is>
      </c>
      <c r="T1" s="6" t="inlineStr">
        <is>
          <t>Immediate_Parent_ID</t>
        </is>
      </c>
      <c r="U1" s="6" t="inlineStr">
        <is>
          <t>Immediate_Parent_Name</t>
        </is>
      </c>
      <c r="V1" s="6" t="inlineStr">
        <is>
          <t>UPE_Ownership_Pct</t>
        </is>
      </c>
      <c r="W1" s="6" t="inlineStr">
        <is>
          <t>Ownership_Chain</t>
        </is>
      </c>
      <c r="X1" s="6" t="inlineStr">
        <is>
          <t>Functional_Currency</t>
        </is>
      </c>
      <c r="Y1" s="6" t="inlineStr">
        <is>
          <t>Reporting_Currency</t>
        </is>
      </c>
      <c r="Z1" s="6" t="inlineStr">
        <is>
          <t>Fiscal_Year_End</t>
        </is>
      </c>
      <c r="AA1" s="6" t="inlineStr">
        <is>
          <t>Fiscal_Year_Start</t>
        </is>
      </c>
      <c r="AB1" s="6" t="inlineStr">
        <is>
          <t>Main_Activity</t>
        </is>
      </c>
      <c r="AC1" s="6" t="inlineStr">
        <is>
          <t>NACE_Code</t>
        </is>
      </c>
      <c r="AD1" s="6" t="inlineStr">
        <is>
          <t>LEI</t>
        </is>
      </c>
      <c r="AE1" s="6" t="inlineStr">
        <is>
          <t>QIIR_In_Jurisdiction</t>
        </is>
      </c>
      <c r="AF1" s="6" t="inlineStr">
        <is>
          <t>QIIR_Applicable_To_CE</t>
        </is>
      </c>
      <c r="AG1" s="6" t="inlineStr">
        <is>
          <t>QIIR_Parent_Entity</t>
        </is>
      </c>
      <c r="AH1" s="6" t="inlineStr">
        <is>
          <t>UTPR_In_Jurisdiction</t>
        </is>
      </c>
      <c r="AI1" s="6" t="inlineStr">
        <is>
          <t>UTPR_Applicable</t>
        </is>
      </c>
      <c r="AJ1" s="6" t="inlineStr">
        <is>
          <t>UTPR_Taxing_Jurisdiction</t>
        </is>
      </c>
      <c r="AK1" s="6" t="inlineStr">
        <is>
          <t>QDMTT_In_Jurisdiction</t>
        </is>
      </c>
      <c r="AL1" s="6" t="inlineStr">
        <is>
          <t>Excluded_Entity</t>
        </is>
      </c>
      <c r="AM1" s="6" t="inlineStr">
        <is>
          <t>Exclusion_Type</t>
        </is>
      </c>
      <c r="AN1" s="6" t="inlineStr">
        <is>
          <t>Exclusion_Documentation</t>
        </is>
      </c>
      <c r="AO1" s="6" t="inlineStr">
        <is>
          <t>Flow_Through_Entity</t>
        </is>
      </c>
      <c r="AP1" s="6" t="inlineStr">
        <is>
          <t>Tax_Transparent_Entity</t>
        </is>
      </c>
      <c r="AQ1" s="6" t="inlineStr">
        <is>
          <t>Reverse_Hybrid_Entity</t>
        </is>
      </c>
      <c r="AR1" s="6" t="inlineStr">
        <is>
          <t>Stateless_Entity</t>
        </is>
      </c>
      <c r="AS1" s="6" t="inlineStr">
        <is>
          <t>Permanent_Establishment</t>
        </is>
      </c>
      <c r="AT1" s="6" t="inlineStr">
        <is>
          <t>PE_Main_Entity_ID</t>
        </is>
      </c>
      <c r="AU1" s="6" t="inlineStr">
        <is>
          <t>PE_Attribution_Method</t>
        </is>
      </c>
      <c r="AV1" s="6" t="inlineStr">
        <is>
          <t>Investment_Entity</t>
        </is>
      </c>
      <c r="AW1" s="6" t="inlineStr">
        <is>
          <t>Investment_Entity_Election</t>
        </is>
      </c>
      <c r="AX1" s="6" t="inlineStr">
        <is>
          <t>JV_Entity</t>
        </is>
      </c>
      <c r="AY1" s="6" t="inlineStr">
        <is>
          <t>JV_Group_ID</t>
        </is>
      </c>
      <c r="AZ1" s="6" t="inlineStr">
        <is>
          <t>JV_Election_Made</t>
        </is>
      </c>
      <c r="BA1" s="6" t="inlineStr">
        <is>
          <t>Minority_Owned_CE</t>
        </is>
      </c>
      <c r="BB1" s="6" t="inlineStr">
        <is>
          <t>MOCE_Ownership_Level</t>
        </is>
      </c>
      <c r="BC1" s="6" t="inlineStr">
        <is>
          <t>POPE_Entity</t>
        </is>
      </c>
      <c r="BD1" s="6" t="inlineStr">
        <is>
          <t>POPE_Subgroup_ID</t>
        </is>
      </c>
      <c r="BE1" s="6" t="inlineStr">
        <is>
          <t>Consolidation_Method</t>
        </is>
      </c>
      <c r="BF1" s="6" t="inlineStr">
        <is>
          <t>Accounting_Standard</t>
        </is>
      </c>
      <c r="BG1" s="6" t="inlineStr">
        <is>
          <t>In_Scope_for_GIR</t>
        </is>
      </c>
      <c r="BH1" s="6" t="inlineStr">
        <is>
          <t>Section_3_Required</t>
        </is>
      </c>
      <c r="BI1" s="6" t="inlineStr">
        <is>
          <t>Safe_Harbour_Eligible</t>
        </is>
      </c>
      <c r="BJ1" s="6" t="inlineStr">
        <is>
          <t>Safe_Harbour_Applied</t>
        </is>
      </c>
      <c r="BK1" s="6" t="inlineStr">
        <is>
          <t>Change_During_FY</t>
        </is>
      </c>
      <c r="BL1" s="6" t="inlineStr">
        <is>
          <t>Change_Date</t>
        </is>
      </c>
      <c r="BM1" s="6" t="inlineStr">
        <is>
          <t>Change_Type</t>
        </is>
      </c>
      <c r="BN1" s="6" t="inlineStr">
        <is>
          <t>Change_Description</t>
        </is>
      </c>
      <c r="BO1" s="6" t="inlineStr">
        <is>
          <t>Employee_Count</t>
        </is>
      </c>
      <c r="BP1" s="6" t="inlineStr">
        <is>
          <t>Tangible_Assets_NBV</t>
        </is>
      </c>
      <c r="BQ1" s="6" t="inlineStr">
        <is>
          <t>Payroll_Costs</t>
        </is>
      </c>
      <c r="BR1" s="6" t="inlineStr">
        <is>
          <t>Data_Source</t>
        </is>
      </c>
      <c r="BS1" s="6" t="inlineStr">
        <is>
          <t>Data_Owner</t>
        </is>
      </c>
      <c r="BT1" s="6" t="inlineStr">
        <is>
          <t>Last_Validated_Date</t>
        </is>
      </c>
      <c r="BU1" s="6" t="inlineStr">
        <is>
          <t>Validated_By</t>
        </is>
      </c>
      <c r="BV1" s="6" t="inlineStr">
        <is>
          <t>Validation_Status</t>
        </is>
      </c>
      <c r="BW1" s="6" t="inlineStr">
        <is>
          <t>Notes</t>
        </is>
      </c>
      <c r="BX1" s="7" t="inlineStr">
        <is>
          <t>Ownership_Check</t>
        </is>
      </c>
      <c r="BY1" s="7" t="inlineStr">
        <is>
          <t>SBIE_Payroll_CO</t>
        </is>
      </c>
      <c r="BZ1" s="7" t="inlineStr">
        <is>
          <t>SBIE_Asset_CO</t>
        </is>
      </c>
      <c r="CA1" s="7" t="inlineStr">
        <is>
          <t>Total_SBIE</t>
        </is>
      </c>
    </row>
    <row r="2">
      <c r="A2" t="inlineStr">
        <is>
          <t>CE-001</t>
        </is>
      </c>
      <c r="B2" t="inlineStr">
        <is>
          <t>GlobalCorp Holdings PLC</t>
        </is>
      </c>
      <c r="C2" t="inlineStr">
        <is>
          <t>GlobalCorp</t>
        </is>
      </c>
      <c r="D2" t="inlineStr">
        <is>
          <t>GB</t>
        </is>
      </c>
      <c r="E2" t="inlineStr">
        <is>
          <t>United Kingdom</t>
        </is>
      </c>
      <c r="F2" t="inlineStr">
        <is>
          <t>GB123456789</t>
        </is>
      </c>
      <c r="G2" t="inlineStr">
        <is>
          <t>UTR</t>
        </is>
      </c>
      <c r="H2" t="inlineStr">
        <is>
          <t>HMRC</t>
        </is>
      </c>
      <c r="I2" t="inlineStr">
        <is>
          <t>100 Finance Street</t>
        </is>
      </c>
      <c r="J2" t="inlineStr">
        <is>
          <t>London</t>
        </is>
      </c>
      <c r="K2" t="inlineStr">
        <is>
          <t>Greater London</t>
        </is>
      </c>
      <c r="L2" t="inlineStr">
        <is>
          <t>EC2A 1AB</t>
        </is>
      </c>
      <c r="M2" t="inlineStr">
        <is>
          <t>GB</t>
        </is>
      </c>
      <c r="N2" t="inlineStr">
        <is>
          <t>2000-01-15</t>
        </is>
      </c>
      <c r="O2" t="inlineStr">
        <is>
          <t>PLC</t>
        </is>
      </c>
      <c r="P2" t="inlineStr">
        <is>
          <t>UPE</t>
        </is>
      </c>
      <c r="Q2" t="inlineStr">
        <is>
          <t>In-Scope</t>
        </is>
      </c>
      <c r="R2" t="inlineStr"/>
      <c r="S2" t="inlineStr">
        <is>
          <t>100</t>
        </is>
      </c>
      <c r="T2" t="inlineStr"/>
      <c r="U2" t="inlineStr"/>
      <c r="V2" t="inlineStr">
        <is>
          <t>100</t>
        </is>
      </c>
      <c r="W2" t="inlineStr">
        <is>
          <t>Direct</t>
        </is>
      </c>
      <c r="X2" t="inlineStr">
        <is>
          <t>GBP</t>
        </is>
      </c>
      <c r="Y2" t="inlineStr">
        <is>
          <t>EUR</t>
        </is>
      </c>
      <c r="Z2" t="inlineStr">
        <is>
          <t>2024-12-31</t>
        </is>
      </c>
      <c r="AA2" t="inlineStr">
        <is>
          <t>2024-01-01</t>
        </is>
      </c>
      <c r="AB2" t="inlineStr">
        <is>
          <t>Holding Company</t>
        </is>
      </c>
      <c r="AC2" t="inlineStr">
        <is>
          <t>64.20</t>
        </is>
      </c>
      <c r="AD2" t="inlineStr"/>
      <c r="AE2" t="inlineStr">
        <is>
          <t>Yes</t>
        </is>
      </c>
      <c r="AF2" t="inlineStr">
        <is>
          <t>Yes</t>
        </is>
      </c>
      <c r="AG2" t="inlineStr"/>
      <c r="AH2" t="inlineStr">
        <is>
          <t>Yes</t>
        </is>
      </c>
      <c r="AI2" t="inlineStr">
        <is>
          <t>Yes</t>
        </is>
      </c>
      <c r="AJ2" t="inlineStr"/>
      <c r="AK2" t="inlineStr">
        <is>
          <t>Yes</t>
        </is>
      </c>
      <c r="AL2" t="inlineStr">
        <is>
          <t>No</t>
        </is>
      </c>
      <c r="AM2" t="inlineStr"/>
      <c r="AN2" t="inlineStr"/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/>
      <c r="AU2" t="inlineStr"/>
      <c r="AV2" t="inlineStr">
        <is>
          <t>No</t>
        </is>
      </c>
      <c r="AW2" t="inlineStr"/>
      <c r="AX2" t="inlineStr">
        <is>
          <t>No</t>
        </is>
      </c>
      <c r="AY2" t="inlineStr"/>
      <c r="AZ2" t="inlineStr"/>
      <c r="BA2" t="inlineStr">
        <is>
          <t>No</t>
        </is>
      </c>
      <c r="BB2" t="inlineStr"/>
      <c r="BC2" t="inlineStr">
        <is>
          <t>No</t>
        </is>
      </c>
      <c r="BD2" t="inlineStr"/>
      <c r="BE2" t="inlineStr">
        <is>
          <t>Full</t>
        </is>
      </c>
      <c r="BF2" t="inlineStr">
        <is>
          <t>IFRS</t>
        </is>
      </c>
      <c r="BG2" t="inlineStr">
        <is>
          <t>Yes</t>
        </is>
      </c>
      <c r="BH2" t="inlineStr">
        <is>
          <t>Yes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/>
      <c r="BM2" t="inlineStr"/>
      <c r="BN2" t="inlineStr"/>
      <c r="BO2" t="inlineStr">
        <is>
          <t>150</t>
        </is>
      </c>
      <c r="BP2" t="inlineStr">
        <is>
          <t>50000000</t>
        </is>
      </c>
      <c r="BQ2" t="inlineStr">
        <is>
          <t>15000000</t>
        </is>
      </c>
      <c r="BR2" t="inlineStr">
        <is>
          <t>ERP</t>
        </is>
      </c>
      <c r="BS2" t="inlineStr">
        <is>
          <t>Tax Director</t>
        </is>
      </c>
      <c r="BT2" t="inlineStr">
        <is>
          <t>2024-11-01</t>
        </is>
      </c>
      <c r="BU2" t="inlineStr">
        <is>
          <t>J.Smith</t>
        </is>
      </c>
      <c r="BV2" t="inlineStr">
        <is>
          <t>Validated</t>
        </is>
      </c>
      <c r="BW2" t="inlineStr">
        <is>
          <t>Ultimate Parent</t>
        </is>
      </c>
      <c r="BX2">
        <f>IF(S2&lt;=100,"Valid","Error")</f>
        <v/>
      </c>
      <c r="BY2" s="5">
        <f>BQ2*0.098</f>
        <v/>
      </c>
      <c r="BZ2" s="5">
        <f>BP2*0.078</f>
        <v/>
      </c>
      <c r="CA2" s="5">
        <f>BY2+BZ2</f>
        <v/>
      </c>
    </row>
    <row r="3">
      <c r="A3" t="inlineStr">
        <is>
          <t>CE-002</t>
        </is>
      </c>
      <c r="B3" t="inlineStr">
        <is>
          <t>GlobalCorp Germany GmbH</t>
        </is>
      </c>
      <c r="C3" t="inlineStr">
        <is>
          <t>GlobalCorp DE</t>
        </is>
      </c>
      <c r="D3" t="inlineStr">
        <is>
          <t>DE</t>
        </is>
      </c>
      <c r="E3" t="inlineStr">
        <is>
          <t>Germany</t>
        </is>
      </c>
      <c r="F3" t="inlineStr">
        <is>
          <t>DE987654321</t>
        </is>
      </c>
      <c r="G3" t="inlineStr">
        <is>
          <t>Tax Number</t>
        </is>
      </c>
      <c r="H3" t="inlineStr">
        <is>
          <t>BZSt</t>
        </is>
      </c>
      <c r="I3" t="inlineStr">
        <is>
          <t>50 Industrieweg</t>
        </is>
      </c>
      <c r="J3" t="inlineStr">
        <is>
          <t>Frankfurt</t>
        </is>
      </c>
      <c r="K3" t="inlineStr">
        <is>
          <t>Hessen</t>
        </is>
      </c>
      <c r="L3" t="inlineStr">
        <is>
          <t>60311</t>
        </is>
      </c>
      <c r="M3" t="inlineStr">
        <is>
          <t>DE</t>
        </is>
      </c>
      <c r="N3" t="inlineStr">
        <is>
          <t>2005-06-01</t>
        </is>
      </c>
      <c r="O3" t="inlineStr">
        <is>
          <t>GmbH</t>
        </is>
      </c>
      <c r="P3" t="inlineStr">
        <is>
          <t>CE</t>
        </is>
      </c>
      <c r="Q3" t="inlineStr">
        <is>
          <t>In-Scope</t>
        </is>
      </c>
      <c r="R3" t="inlineStr"/>
      <c r="S3" t="inlineStr">
        <is>
          <t>100</t>
        </is>
      </c>
      <c r="T3" t="inlineStr">
        <is>
          <t>CE-001</t>
        </is>
      </c>
      <c r="U3" t="inlineStr">
        <is>
          <t>GlobalCorp Holdings PLC</t>
        </is>
      </c>
      <c r="V3" t="inlineStr">
        <is>
          <t>100</t>
        </is>
      </c>
      <c r="W3" t="inlineStr">
        <is>
          <t>CE-001&gt;CE-002</t>
        </is>
      </c>
      <c r="X3" t="inlineStr">
        <is>
          <t>EUR</t>
        </is>
      </c>
      <c r="Y3" t="inlineStr">
        <is>
          <t>EUR</t>
        </is>
      </c>
      <c r="Z3" t="inlineStr">
        <is>
          <t>2024-12-31</t>
        </is>
      </c>
      <c r="AA3" t="inlineStr">
        <is>
          <t>2024-01-01</t>
        </is>
      </c>
      <c r="AB3" t="inlineStr">
        <is>
          <t>Manufacturing</t>
        </is>
      </c>
      <c r="AC3" t="inlineStr">
        <is>
          <t>25.11</t>
        </is>
      </c>
      <c r="AD3" t="inlineStr"/>
      <c r="AE3" t="inlineStr">
        <is>
          <t>Yes</t>
        </is>
      </c>
      <c r="AF3" t="inlineStr">
        <is>
          <t>Yes</t>
        </is>
      </c>
      <c r="AG3" t="inlineStr">
        <is>
          <t>CE-001</t>
        </is>
      </c>
      <c r="AH3" t="inlineStr">
        <is>
          <t>Yes</t>
        </is>
      </c>
      <c r="AI3" t="inlineStr">
        <is>
          <t>Yes</t>
        </is>
      </c>
      <c r="AJ3" t="inlineStr">
        <is>
          <t>DE</t>
        </is>
      </c>
      <c r="AK3" t="inlineStr">
        <is>
          <t>Yes</t>
        </is>
      </c>
      <c r="AL3" t="inlineStr">
        <is>
          <t>No</t>
        </is>
      </c>
      <c r="AM3" t="inlineStr"/>
      <c r="AN3" t="inlineStr"/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/>
      <c r="AU3" t="inlineStr"/>
      <c r="AV3" t="inlineStr">
        <is>
          <t>No</t>
        </is>
      </c>
      <c r="AW3" t="inlineStr"/>
      <c r="AX3" t="inlineStr">
        <is>
          <t>No</t>
        </is>
      </c>
      <c r="AY3" t="inlineStr"/>
      <c r="AZ3" t="inlineStr"/>
      <c r="BA3" t="inlineStr">
        <is>
          <t>No</t>
        </is>
      </c>
      <c r="BB3" t="inlineStr"/>
      <c r="BC3" t="inlineStr">
        <is>
          <t>No</t>
        </is>
      </c>
      <c r="BD3" t="inlineStr"/>
      <c r="BE3" t="inlineStr">
        <is>
          <t>Full</t>
        </is>
      </c>
      <c r="BF3" t="inlineStr">
        <is>
          <t>IFRS</t>
        </is>
      </c>
      <c r="BG3" t="inlineStr">
        <is>
          <t>Yes</t>
        </is>
      </c>
      <c r="BH3" t="inlineStr">
        <is>
          <t>Yes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/>
      <c r="BM3" t="inlineStr"/>
      <c r="BN3" t="inlineStr"/>
      <c r="BO3" t="inlineStr">
        <is>
          <t>500</t>
        </is>
      </c>
      <c r="BP3" t="inlineStr">
        <is>
          <t>120000000</t>
        </is>
      </c>
      <c r="BQ3" t="inlineStr">
        <is>
          <t>35000000</t>
        </is>
      </c>
      <c r="BR3" t="inlineStr">
        <is>
          <t>ERP</t>
        </is>
      </c>
      <c r="BS3" t="inlineStr">
        <is>
          <t>Local Finance</t>
        </is>
      </c>
      <c r="BT3" t="inlineStr">
        <is>
          <t>2024-11-01</t>
        </is>
      </c>
      <c r="BU3" t="inlineStr">
        <is>
          <t>M.Mueller</t>
        </is>
      </c>
      <c r="BV3" t="inlineStr">
        <is>
          <t>Validated</t>
        </is>
      </c>
      <c r="BW3" t="inlineStr"/>
      <c r="BX3">
        <f>IF(S3&lt;=100,"Valid","Error")</f>
        <v/>
      </c>
      <c r="BY3" s="5">
        <f>BQ3*0.098</f>
        <v/>
      </c>
      <c r="BZ3" s="5">
        <f>BP3*0.078</f>
        <v/>
      </c>
      <c r="CA3" s="5">
        <f>BY3+BZ3</f>
        <v/>
      </c>
    </row>
  </sheetData>
  <autoFilter ref="A1:CA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Entity_Type</t>
        </is>
      </c>
      <c r="B1" s="8" t="inlineStr">
        <is>
          <t>GloBE_Status</t>
        </is>
      </c>
      <c r="C1" s="8" t="inlineStr">
        <is>
          <t>Yes_No</t>
        </is>
      </c>
      <c r="D1" s="8" t="inlineStr">
        <is>
          <t>Exclusion_Type</t>
        </is>
      </c>
      <c r="E1" s="8" t="inlineStr">
        <is>
          <t>Consolidation</t>
        </is>
      </c>
      <c r="F1" s="8" t="inlineStr">
        <is>
          <t>Validation_Status</t>
        </is>
      </c>
      <c r="G1" s="8" t="inlineStr">
        <is>
          <t>Country_Code</t>
        </is>
      </c>
    </row>
    <row r="2">
      <c r="A2" t="inlineStr">
        <is>
          <t>UPE</t>
        </is>
      </c>
      <c r="B2" t="inlineStr">
        <is>
          <t>In-Scope</t>
        </is>
      </c>
      <c r="C2" t="inlineStr">
        <is>
          <t>Yes</t>
        </is>
      </c>
      <c r="D2" t="inlineStr">
        <is>
          <t>Pension Fund</t>
        </is>
      </c>
      <c r="E2" t="inlineStr">
        <is>
          <t>Full</t>
        </is>
      </c>
      <c r="F2" t="inlineStr">
        <is>
          <t>Validated</t>
        </is>
      </c>
      <c r="G2" t="inlineStr">
        <is>
          <t>GB</t>
        </is>
      </c>
    </row>
    <row r="3">
      <c r="A3" t="inlineStr">
        <is>
          <t>CE</t>
        </is>
      </c>
      <c r="B3" t="inlineStr">
        <is>
          <t>Out-of-Scope</t>
        </is>
      </c>
      <c r="C3" t="inlineStr">
        <is>
          <t>No</t>
        </is>
      </c>
      <c r="D3" t="inlineStr">
        <is>
          <t>Non-Profit</t>
        </is>
      </c>
      <c r="E3" t="inlineStr">
        <is>
          <t>Proportionate</t>
        </is>
      </c>
      <c r="F3" t="inlineStr">
        <is>
          <t>Pending</t>
        </is>
      </c>
      <c r="G3" t="inlineStr">
        <is>
          <t>DE</t>
        </is>
      </c>
    </row>
    <row r="4">
      <c r="A4" t="inlineStr">
        <is>
          <t>PE</t>
        </is>
      </c>
      <c r="B4" t="inlineStr">
        <is>
          <t>Excluded</t>
        </is>
      </c>
      <c r="D4" t="inlineStr">
        <is>
          <t>Government Entity</t>
        </is>
      </c>
      <c r="E4" t="inlineStr">
        <is>
          <t>Equity</t>
        </is>
      </c>
      <c r="F4" t="inlineStr">
        <is>
          <t>Error</t>
        </is>
      </c>
      <c r="G4" t="inlineStr">
        <is>
          <t>NL</t>
        </is>
      </c>
    </row>
    <row r="5">
      <c r="A5" t="inlineStr">
        <is>
          <t>JV</t>
        </is>
      </c>
      <c r="B5" t="inlineStr">
        <is>
          <t>Pending Review</t>
        </is>
      </c>
      <c r="D5" t="inlineStr">
        <is>
          <t>International Organisation</t>
        </is>
      </c>
      <c r="E5" t="inlineStr">
        <is>
          <t>Not Consolidated</t>
        </is>
      </c>
      <c r="F5" t="inlineStr">
        <is>
          <t>Not Started</t>
        </is>
      </c>
      <c r="G5" t="inlineStr">
        <is>
          <t>FR</t>
        </is>
      </c>
    </row>
    <row r="6">
      <c r="A6" t="inlineStr">
        <is>
          <t>MOCE</t>
        </is>
      </c>
      <c r="D6" t="inlineStr">
        <is>
          <t>Investment Fund</t>
        </is>
      </c>
      <c r="G6" t="inlineStr">
        <is>
          <t>IE</t>
        </is>
      </c>
    </row>
    <row r="7">
      <c r="A7" t="inlineStr">
        <is>
          <t>Investment Entity</t>
        </is>
      </c>
      <c r="G7" t="inlineStr">
        <is>
          <t>LU</t>
        </is>
      </c>
    </row>
    <row r="8">
      <c r="A8" t="inlineStr">
        <is>
          <t>Excluded</t>
        </is>
      </c>
      <c r="G8" t="inlineStr">
        <is>
          <t>SG</t>
        </is>
      </c>
    </row>
    <row r="9">
      <c r="G9" t="inlineStr">
        <is>
          <t>AU</t>
        </is>
      </c>
    </row>
    <row r="10">
      <c r="G10" t="inlineStr">
        <is>
          <t>JP</t>
        </is>
      </c>
    </row>
    <row r="11">
      <c r="G11" t="inlineStr">
        <is>
          <t>KR</t>
        </is>
      </c>
    </row>
    <row r="12">
      <c r="G12" t="inlineStr">
        <is>
          <t>CA</t>
        </is>
      </c>
    </row>
    <row r="13">
      <c r="G13" t="inlineStr">
        <is>
          <t>CH</t>
        </is>
      </c>
    </row>
    <row r="14">
      <c r="G14" t="inlineStr">
        <is>
          <t>US</t>
        </is>
      </c>
    </row>
    <row r="15">
      <c r="G15" t="inlineStr">
        <is>
          <t>BE</t>
        </is>
      </c>
    </row>
    <row r="16">
      <c r="G16" t="inlineStr">
        <is>
          <t>IT</t>
        </is>
      </c>
    </row>
    <row r="17">
      <c r="G17" t="inlineStr">
        <is>
          <t>ES</t>
        </is>
      </c>
    </row>
    <row r="18">
      <c r="G18" t="inlineStr">
        <is>
          <t>AT</t>
        </is>
      </c>
    </row>
    <row r="19">
      <c r="G19" t="inlineStr">
        <is>
          <t>SE</t>
        </is>
      </c>
    </row>
    <row r="20">
      <c r="G20" t="inlineStr">
        <is>
          <t>DK</t>
        </is>
      </c>
    </row>
    <row r="21">
      <c r="G2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25" customWidth="1" min="4" max="4"/>
  </cols>
  <sheetData>
    <row r="1">
      <c r="A1" s="3" t="inlineStr">
        <is>
          <t>SBIE TRANSITIONAL RATES</t>
        </is>
      </c>
    </row>
    <row r="3">
      <c r="A3" s="9" t="inlineStr">
        <is>
          <t>Fiscal Year</t>
        </is>
      </c>
      <c r="B3" s="9" t="inlineStr">
        <is>
          <t>Payroll Rate</t>
        </is>
      </c>
      <c r="C3" s="9" t="inlineStr">
        <is>
          <t>Asset Rate</t>
        </is>
      </c>
      <c r="D3" s="9" t="inlineStr">
        <is>
          <t>Notes</t>
        </is>
      </c>
    </row>
    <row r="4">
      <c r="A4" t="n">
        <v>2024</v>
      </c>
      <c r="B4" s="10" t="n">
        <v>0.098</v>
      </c>
      <c r="C4" s="10" t="n">
        <v>0.078</v>
      </c>
      <c r="D4" t="inlineStr">
        <is>
          <t>First year of implementation</t>
        </is>
      </c>
    </row>
    <row r="5">
      <c r="A5" t="n">
        <v>2025</v>
      </c>
      <c r="B5" s="10" t="n">
        <v>0.096</v>
      </c>
      <c r="C5" s="10" t="n">
        <v>0.076</v>
      </c>
      <c r="D5" t="inlineStr"/>
    </row>
    <row r="6">
      <c r="A6" t="n">
        <v>2026</v>
      </c>
      <c r="B6" s="10" t="n">
        <v>0.094</v>
      </c>
      <c r="C6" s="10" t="n">
        <v>0.074</v>
      </c>
      <c r="D6" t="inlineStr"/>
    </row>
    <row r="7">
      <c r="A7" t="n">
        <v>2027</v>
      </c>
      <c r="B7" s="10" t="n">
        <v>0.092</v>
      </c>
      <c r="C7" s="10" t="n">
        <v>0.07199999999999999</v>
      </c>
      <c r="D7" t="inlineStr"/>
    </row>
    <row r="8">
      <c r="A8" t="n">
        <v>2028</v>
      </c>
      <c r="B8" s="10" t="n">
        <v>0.09</v>
      </c>
      <c r="C8" s="10" t="n">
        <v>0.07000000000000001</v>
      </c>
      <c r="D8" t="inlineStr"/>
    </row>
    <row r="9">
      <c r="A9" t="n">
        <v>2029</v>
      </c>
      <c r="B9" s="10" t="n">
        <v>0.082</v>
      </c>
      <c r="C9" s="10" t="n">
        <v>0.066</v>
      </c>
      <c r="D9" t="inlineStr"/>
    </row>
    <row r="10">
      <c r="A10" t="n">
        <v>2030</v>
      </c>
      <c r="B10" s="10" t="n">
        <v>0.074</v>
      </c>
      <c r="C10" s="10" t="n">
        <v>0.062</v>
      </c>
      <c r="D10" t="inlineStr"/>
    </row>
    <row r="11">
      <c r="A11" t="n">
        <v>2031</v>
      </c>
      <c r="B11" s="10" t="n">
        <v>0.066</v>
      </c>
      <c r="C11" s="10" t="n">
        <v>0.058</v>
      </c>
      <c r="D11" t="inlineStr"/>
    </row>
    <row r="12">
      <c r="A12" t="n">
        <v>2032</v>
      </c>
      <c r="B12" s="10" t="n">
        <v>0.058</v>
      </c>
      <c r="C12" s="10" t="n">
        <v>0.054</v>
      </c>
      <c r="D12" t="inlineStr"/>
    </row>
    <row r="13">
      <c r="A13" t="n">
        <v>2033</v>
      </c>
      <c r="B13" s="10" t="n">
        <v>0.05</v>
      </c>
      <c r="C13" s="10" t="n">
        <v>0.05</v>
      </c>
      <c r="D13" t="inlineStr">
        <is>
          <t>Steady state rates</t>
        </is>
      </c>
    </row>
    <row r="16">
      <c r="A16" s="4" t="inlineStr">
        <is>
          <t>SBIE CALCULATION EXAMPLE</t>
        </is>
      </c>
    </row>
    <row r="18">
      <c r="A18" s="8" t="inlineStr">
        <is>
          <t>Input</t>
        </is>
      </c>
      <c r="B18" s="8" t="inlineStr">
        <is>
          <t>Value</t>
        </is>
      </c>
      <c r="C18" s="8" t="inlineStr">
        <is>
          <t>Formula</t>
        </is>
      </c>
    </row>
    <row r="19">
      <c r="A19" t="inlineStr">
        <is>
          <t>Eligible Payroll Costs</t>
        </is>
      </c>
      <c r="B19" s="5" t="n">
        <v>10000000</v>
      </c>
    </row>
    <row r="20">
      <c r="A20" t="inlineStr">
        <is>
          <t>Tangible Assets NBV</t>
        </is>
      </c>
      <c r="B20" s="5" t="n">
        <v>50000000</v>
      </c>
    </row>
    <row r="21">
      <c r="A21" t="inlineStr">
        <is>
          <t>Fiscal Year</t>
        </is>
      </c>
      <c r="B21" t="n">
        <v>2024</v>
      </c>
    </row>
    <row r="23">
      <c r="A23" s="8" t="inlineStr">
        <is>
          <t>Calculation</t>
        </is>
      </c>
    </row>
    <row r="24">
      <c r="A24" t="inlineStr">
        <is>
          <t>Payroll Carve-out</t>
        </is>
      </c>
      <c r="B24" s="5">
        <f>B19*VLOOKUP(B21,A4:C13,2,FALSE)</f>
        <v/>
      </c>
      <c r="C24">
        <f>Payroll × Rate</f>
        <v/>
      </c>
    </row>
    <row r="25">
      <c r="A25" t="inlineStr">
        <is>
          <t>Asset Carve-out</t>
        </is>
      </c>
      <c r="B25" s="5">
        <f>B20*VLOOKUP(B21,A4:C13,3,FALSE)</f>
        <v/>
      </c>
      <c r="C25">
        <f>Assets × Rate</f>
        <v/>
      </c>
    </row>
    <row r="26">
      <c r="A26" t="inlineStr">
        <is>
          <t>Total SBIE</t>
        </is>
      </c>
      <c r="B26" s="11">
        <f>B24+B25</f>
        <v/>
      </c>
      <c r="C26">
        <f>Payroll CO + Asset CO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2025-12-02T14:25:25Z</dcterms:created>
  <dcterms:modified xsi:type="dcterms:W3CDTF">2025-12-02T14:25:25Z</dcterms:modified>
</cp:coreProperties>
</file>